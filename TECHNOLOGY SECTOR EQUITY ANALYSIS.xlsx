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folio projects\"/>
    </mc:Choice>
  </mc:AlternateContent>
  <xr:revisionPtr revIDLastSave="0" documentId="13_ncr:1_{BDBCC17C-23B7-494C-97BC-3FEA342EA5A7}" xr6:coauthVersionLast="47" xr6:coauthVersionMax="47" xr10:uidLastSave="{00000000-0000-0000-0000-000000000000}"/>
  <bookViews>
    <workbookView xWindow="-98" yWindow="-98" windowWidth="21795" windowHeight="12975" activeTab="3" xr2:uid="{30FCF1C2-ABB5-4140-92E5-5EDB7A039F70}"/>
  </bookViews>
  <sheets>
    <sheet name="MSFT" sheetId="2" r:id="rId1"/>
    <sheet name="NVDA" sheetId="3" r:id="rId2"/>
    <sheet name="TSLA" sheetId="4" r:id="rId3"/>
    <sheet name="analysis sheet" sheetId="1" r:id="rId4"/>
  </sheets>
  <definedNames>
    <definedName name="ExternalData_1" localSheetId="0" hidden="1">MSFT!$A$1:$G$253</definedName>
    <definedName name="ExternalData_1" localSheetId="1" hidden="1">NVDA!$A$1:$G$252</definedName>
    <definedName name="ExternalData_1" localSheetId="2" hidden="1">TSLA!$A$1:$G$252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15" i="1"/>
  <c r="E8" i="1"/>
  <c r="E7" i="1"/>
  <c r="E6" i="1"/>
  <c r="D8" i="1"/>
  <c r="D7" i="1"/>
  <c r="D6" i="1"/>
  <c r="C8" i="1"/>
  <c r="C7" i="1"/>
  <c r="C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8C0DF-EF59-499E-8EB7-60C4155781DD}" keepAlive="1" name="Query - Microsoft Stock Price History" description="Connection to the 'Microsoft Stock Price History' query in the workbook." type="5" refreshedVersion="8" background="1" saveData="1">
    <dbPr connection="Provider=Microsoft.Mashup.OleDb.1;Data Source=$Workbook$;Location=&quot;Microsoft Stock Price History&quot;;Extended Properties=&quot;&quot;" command="SELECT * FROM [Microsoft Stock Price History]"/>
  </connection>
  <connection id="2" xr16:uid="{3380719C-5700-4A1E-B068-BFC67AE7701E}" keepAlive="1" name="Query - NVIDIA Stock Price History" description="Connection to the 'NVIDIA Stock Price History' query in the workbook." type="5" refreshedVersion="8" background="1" saveData="1">
    <dbPr connection="Provider=Microsoft.Mashup.OleDb.1;Data Source=$Workbook$;Location=&quot;NVIDIA Stock Price History&quot;;Extended Properties=&quot;&quot;" command="SELECT * FROM [NVIDIA Stock Price History]"/>
  </connection>
  <connection id="3" xr16:uid="{B5B518AA-D5D0-437B-9078-8E6334ED3392}" keepAlive="1" name="Query - Tesla Stock Price History" description="Connection to the 'Tesla Stock Price History' query in the workbook." type="5" refreshedVersion="8" background="1" saveData="1">
    <dbPr connection="Provider=Microsoft.Mashup.OleDb.1;Data Source=$Workbook$;Location=&quot;Tesla Stock Price History&quot;;Extended Properties=&quot;&quot;" command="SELECT * FROM [Tesla Stock Price History]"/>
  </connection>
</connections>
</file>

<file path=xl/sharedStrings.xml><?xml version="1.0" encoding="utf-8"?>
<sst xmlns="http://schemas.openxmlformats.org/spreadsheetml/2006/main" count="785" uniqueCount="748">
  <si>
    <t>Date</t>
  </si>
  <si>
    <t>Price</t>
  </si>
  <si>
    <t>Open</t>
  </si>
  <si>
    <t>High</t>
  </si>
  <si>
    <t>Low</t>
  </si>
  <si>
    <t>Vol.</t>
  </si>
  <si>
    <t>Change %</t>
  </si>
  <si>
    <t>22.39M</t>
  </si>
  <si>
    <t>31.39M</t>
  </si>
  <si>
    <t>27.86M</t>
  </si>
  <si>
    <t>33.02M</t>
  </si>
  <si>
    <t>32.56M</t>
  </si>
  <si>
    <t>50.77M</t>
  </si>
  <si>
    <t>27.08M</t>
  </si>
  <si>
    <t>29.67M</t>
  </si>
  <si>
    <t>38.59M</t>
  </si>
  <si>
    <t>35.66M</t>
  </si>
  <si>
    <t>33.38M</t>
  </si>
  <si>
    <t>34.94M</t>
  </si>
  <si>
    <t>30.29M</t>
  </si>
  <si>
    <t>25.70M</t>
  </si>
  <si>
    <t>28.07M</t>
  </si>
  <si>
    <t>31.37M</t>
  </si>
  <si>
    <t>70.91M</t>
  </si>
  <si>
    <t>38.29M</t>
  </si>
  <si>
    <t>30.44M</t>
  </si>
  <si>
    <t>30.87M</t>
  </si>
  <si>
    <t>27.46M</t>
  </si>
  <si>
    <t>38.31M</t>
  </si>
  <si>
    <t>29.38M</t>
  </si>
  <si>
    <t>32.05M</t>
  </si>
  <si>
    <t>27.58M</t>
  </si>
  <si>
    <t>48.57M</t>
  </si>
  <si>
    <t>41.64M</t>
  </si>
  <si>
    <t>45.06M</t>
  </si>
  <si>
    <t>37.50M</t>
  </si>
  <si>
    <t>35.75M</t>
  </si>
  <si>
    <t>28.11M</t>
  </si>
  <si>
    <t>33.06M</t>
  </si>
  <si>
    <t>21.44M</t>
  </si>
  <si>
    <t>16.15M</t>
  </si>
  <si>
    <t>24.10M</t>
  </si>
  <si>
    <t>29.42M</t>
  </si>
  <si>
    <t>45.24M</t>
  </si>
  <si>
    <t>44.80M</t>
  </si>
  <si>
    <t>37.88M</t>
  </si>
  <si>
    <t>36.84M</t>
  </si>
  <si>
    <t>31.18M</t>
  </si>
  <si>
    <t>42.73M</t>
  </si>
  <si>
    <t>29.68M</t>
  </si>
  <si>
    <t>50.85M</t>
  </si>
  <si>
    <t>25.14M</t>
  </si>
  <si>
    <t>25.91M</t>
  </si>
  <si>
    <t>26.23M</t>
  </si>
  <si>
    <t>27.73M</t>
  </si>
  <si>
    <t>26.85M</t>
  </si>
  <si>
    <t>27.26M</t>
  </si>
  <si>
    <t>25.51M</t>
  </si>
  <si>
    <t>31.71M</t>
  </si>
  <si>
    <t>30.13M</t>
  </si>
  <si>
    <t>31.12M</t>
  </si>
  <si>
    <t>39.00M</t>
  </si>
  <si>
    <t>35.81M</t>
  </si>
  <si>
    <t>38.20M</t>
  </si>
  <si>
    <t>35.47M</t>
  </si>
  <si>
    <t>51.37M</t>
  </si>
  <si>
    <t>34.41M</t>
  </si>
  <si>
    <t>43.63M</t>
  </si>
  <si>
    <t>33.88M</t>
  </si>
  <si>
    <t>43.24M</t>
  </si>
  <si>
    <t>34.02M</t>
  </si>
  <si>
    <t>28.23M</t>
  </si>
  <si>
    <t>23.22M</t>
  </si>
  <si>
    <t>32.08M</t>
  </si>
  <si>
    <t>34.09M</t>
  </si>
  <si>
    <t>40.80M</t>
  </si>
  <si>
    <t>42.49M</t>
  </si>
  <si>
    <t>44.86M</t>
  </si>
  <si>
    <t>45.48M</t>
  </si>
  <si>
    <t>53.52M</t>
  </si>
  <si>
    <t>66.29M</t>
  </si>
  <si>
    <t>45.01M</t>
  </si>
  <si>
    <t>61.42M</t>
  </si>
  <si>
    <t>42.22M</t>
  </si>
  <si>
    <t>58.57M</t>
  </si>
  <si>
    <t>128.86M</t>
  </si>
  <si>
    <t>36.88M</t>
  </si>
  <si>
    <t>29.21M</t>
  </si>
  <si>
    <t>29.29M</t>
  </si>
  <si>
    <t>38.00M</t>
  </si>
  <si>
    <t>25.35M</t>
  </si>
  <si>
    <t>37.98M</t>
  </si>
  <si>
    <t>26.13M</t>
  </si>
  <si>
    <t>34.25M</t>
  </si>
  <si>
    <t>23.23M</t>
  </si>
  <si>
    <t>28.18M</t>
  </si>
  <si>
    <t>28.55M</t>
  </si>
  <si>
    <t>23.52M</t>
  </si>
  <si>
    <t>18.49M</t>
  </si>
  <si>
    <t>18.16M</t>
  </si>
  <si>
    <t>25.56M</t>
  </si>
  <si>
    <t>23.04M</t>
  </si>
  <si>
    <t>25.25M</t>
  </si>
  <si>
    <t>25.57M</t>
  </si>
  <si>
    <t>15.60M</t>
  </si>
  <si>
    <t>13.94M</t>
  </si>
  <si>
    <t>10.89M</t>
  </si>
  <si>
    <t>8.84M</t>
  </si>
  <si>
    <t>5.86M</t>
  </si>
  <si>
    <t>14.68M</t>
  </si>
  <si>
    <t>16.96M</t>
  </si>
  <si>
    <t>70.84M</t>
  </si>
  <si>
    <t>28.57M</t>
  </si>
  <si>
    <t>24.53M</t>
  </si>
  <si>
    <t>20.71M</t>
  </si>
  <si>
    <t>23.73M</t>
  </si>
  <si>
    <t>21.25M</t>
  </si>
  <si>
    <t>24.67M</t>
  </si>
  <si>
    <t>35.76M</t>
  </si>
  <si>
    <t>14.70M</t>
  </si>
  <si>
    <t>21.97M</t>
  </si>
  <si>
    <t>22.61M</t>
  </si>
  <si>
    <t>22.32M</t>
  </si>
  <si>
    <t>34.62M</t>
  </si>
  <si>
    <t>19.56M</t>
  </si>
  <si>
    <t>23.96M</t>
  </si>
  <si>
    <t>14.39M</t>
  </si>
  <si>
    <t>25.71M</t>
  </si>
  <si>
    <t>28.02M</t>
  </si>
  <si>
    <t>34.42M</t>
  </si>
  <si>
    <t>31.77M</t>
  </si>
  <si>
    <t>26.80M</t>
  </si>
  <si>
    <t>23.25M</t>
  </si>
  <si>
    <t>33.82M</t>
  </si>
  <si>
    <t>19.09M</t>
  </si>
  <si>
    <t>28.51M</t>
  </si>
  <si>
    <t>25.27M</t>
  </si>
  <si>
    <t>26.57M</t>
  </si>
  <si>
    <t>17.98M</t>
  </si>
  <si>
    <t>26.10M</t>
  </si>
  <si>
    <t>24.02M</t>
  </si>
  <si>
    <t>27.41M</t>
  </si>
  <si>
    <t>23.02M</t>
  </si>
  <si>
    <t>20.96M</t>
  </si>
  <si>
    <t>22.37M</t>
  </si>
  <si>
    <t>34.01M</t>
  </si>
  <si>
    <t>41.02M</t>
  </si>
  <si>
    <t>36.02M</t>
  </si>
  <si>
    <t>29.99M</t>
  </si>
  <si>
    <t>18.73M</t>
  </si>
  <si>
    <t>15.53M</t>
  </si>
  <si>
    <t>14.02M</t>
  </si>
  <si>
    <t>18.96M</t>
  </si>
  <si>
    <t>15.59M</t>
  </si>
  <si>
    <t>14.67M</t>
  </si>
  <si>
    <t>19.87M</t>
  </si>
  <si>
    <t>15.56M</t>
  </si>
  <si>
    <t>14.69M</t>
  </si>
  <si>
    <t>14.28M</t>
  </si>
  <si>
    <t>24.13M</t>
  </si>
  <si>
    <t>18.34M</t>
  </si>
  <si>
    <t>13.36M</t>
  </si>
  <si>
    <t>14.62M</t>
  </si>
  <si>
    <t>21.39M</t>
  </si>
  <si>
    <t>15.11M</t>
  </si>
  <si>
    <t>21.22M</t>
  </si>
  <si>
    <t>22.63M</t>
  </si>
  <si>
    <t>19.73M</t>
  </si>
  <si>
    <t>17.62M</t>
  </si>
  <si>
    <t>16.21M</t>
  </si>
  <si>
    <t>15.79M</t>
  </si>
  <si>
    <t>13.53M</t>
  </si>
  <si>
    <t>19.80M</t>
  </si>
  <si>
    <t>20.01M</t>
  </si>
  <si>
    <t>52.47M</t>
  </si>
  <si>
    <t>18.91M</t>
  </si>
  <si>
    <t>15.82M</t>
  </si>
  <si>
    <t>19.71M</t>
  </si>
  <si>
    <t>17.14M</t>
  </si>
  <si>
    <t>23.62M</t>
  </si>
  <si>
    <t>18.88M</t>
  </si>
  <si>
    <t>21.61M</t>
  </si>
  <si>
    <t>14.41M</t>
  </si>
  <si>
    <t>16.77M</t>
  </si>
  <si>
    <t>31.99M</t>
  </si>
  <si>
    <t>15.51M</t>
  </si>
  <si>
    <t>16.35M</t>
  </si>
  <si>
    <t>18.13M</t>
  </si>
  <si>
    <t>18.02M</t>
  </si>
  <si>
    <t>17.28M</t>
  </si>
  <si>
    <t>30.84M</t>
  </si>
  <si>
    <t>21.64M</t>
  </si>
  <si>
    <t>24.32M</t>
  </si>
  <si>
    <t>18.44M</t>
  </si>
  <si>
    <t>27.72M</t>
  </si>
  <si>
    <t>21.48M</t>
  </si>
  <si>
    <t>23.76M</t>
  </si>
  <si>
    <t>25.21M</t>
  </si>
  <si>
    <t>20.27M</t>
  </si>
  <si>
    <t>19.62M</t>
  </si>
  <si>
    <t>18.69M</t>
  </si>
  <si>
    <t>20.19M</t>
  </si>
  <si>
    <t>16.08M</t>
  </si>
  <si>
    <t>21.36M</t>
  </si>
  <si>
    <t>19.17M</t>
  </si>
  <si>
    <t>28.98M</t>
  </si>
  <si>
    <t>51.62M</t>
  </si>
  <si>
    <t>26.38M</t>
  </si>
  <si>
    <t>16.47M</t>
  </si>
  <si>
    <t>14.31M</t>
  </si>
  <si>
    <t>19.13M</t>
  </si>
  <si>
    <t>16.11M</t>
  </si>
  <si>
    <t>16.40M</t>
  </si>
  <si>
    <t>13.87M</t>
  </si>
  <si>
    <t>14.07M</t>
  </si>
  <si>
    <t>21.21M</t>
  </si>
  <si>
    <t>17.50M</t>
  </si>
  <si>
    <t>15.15M</t>
  </si>
  <si>
    <t>14.93M</t>
  </si>
  <si>
    <t>12.06M</t>
  </si>
  <si>
    <t>16.46M</t>
  </si>
  <si>
    <t>16.50M</t>
  </si>
  <si>
    <t>18.66M</t>
  </si>
  <si>
    <t>11.85M</t>
  </si>
  <si>
    <t>13.98M</t>
  </si>
  <si>
    <t>16.32M</t>
  </si>
  <si>
    <t>19.95M</t>
  </si>
  <si>
    <t>28.37M</t>
  </si>
  <si>
    <t>34.54M</t>
  </si>
  <si>
    <t>21.58M</t>
  </si>
  <si>
    <t>22.31M</t>
  </si>
  <si>
    <t>24.86M</t>
  </si>
  <si>
    <t>37.58M</t>
  </si>
  <si>
    <t>17.53M</t>
  </si>
  <si>
    <t>15.41M</t>
  </si>
  <si>
    <t>15.63M</t>
  </si>
  <si>
    <t>16.81M</t>
  </si>
  <si>
    <t>18.95M</t>
  </si>
  <si>
    <t>15.38M</t>
  </si>
  <si>
    <t>15.29M</t>
  </si>
  <si>
    <t>20.15M</t>
  </si>
  <si>
    <t>14.16M</t>
  </si>
  <si>
    <t>15.74M</t>
  </si>
  <si>
    <t>16.63M</t>
  </si>
  <si>
    <t>34.77M</t>
  </si>
  <si>
    <t>17.09M</t>
  </si>
  <si>
    <t>20.97M</t>
  </si>
  <si>
    <t>16.88M</t>
  </si>
  <si>
    <t>169.28M</t>
  </si>
  <si>
    <t>203.38M</t>
  </si>
  <si>
    <t>184.20M</t>
  </si>
  <si>
    <t>140.95M</t>
  </si>
  <si>
    <t>146.28M</t>
  </si>
  <si>
    <t>180.98M</t>
  </si>
  <si>
    <t>180.78M</t>
  </si>
  <si>
    <t>150.41M</t>
  </si>
  <si>
    <t>159.18M</t>
  </si>
  <si>
    <t>160.69M</t>
  </si>
  <si>
    <t>136.42M</t>
  </si>
  <si>
    <t>168.31M</t>
  </si>
  <si>
    <t>188.36M</t>
  </si>
  <si>
    <t>113.41M</t>
  </si>
  <si>
    <t>125.37M</t>
  </si>
  <si>
    <t>128.65M</t>
  </si>
  <si>
    <t>225.24M</t>
  </si>
  <si>
    <t>123.71M</t>
  </si>
  <si>
    <t>180.28M</t>
  </si>
  <si>
    <t>187.17M</t>
  </si>
  <si>
    <t>214.13M</t>
  </si>
  <si>
    <t>113.56M</t>
  </si>
  <si>
    <t>107.50M</t>
  </si>
  <si>
    <t>107.95M</t>
  </si>
  <si>
    <t>119.38M</t>
  </si>
  <si>
    <t>160.32M</t>
  </si>
  <si>
    <t>134.01M</t>
  </si>
  <si>
    <t>185.34M</t>
  </si>
  <si>
    <t>161.31M</t>
  </si>
  <si>
    <t>133.65M</t>
  </si>
  <si>
    <t>160.46M</t>
  </si>
  <si>
    <t>116.43M</t>
  </si>
  <si>
    <t>147.73M</t>
  </si>
  <si>
    <t>132.53M</t>
  </si>
  <si>
    <t>107.56M</t>
  </si>
  <si>
    <t>143.14M</t>
  </si>
  <si>
    <t>168.13M</t>
  </si>
  <si>
    <t>226.18M</t>
  </si>
  <si>
    <t>185.63M</t>
  </si>
  <si>
    <t>196.21M</t>
  </si>
  <si>
    <t>186.15M</t>
  </si>
  <si>
    <t>162.60M</t>
  </si>
  <si>
    <t>147.67M</t>
  </si>
  <si>
    <t>182.84M</t>
  </si>
  <si>
    <t>241.32M</t>
  </si>
  <si>
    <t>170.97M</t>
  </si>
  <si>
    <t>156.68M</t>
  </si>
  <si>
    <t>182.50M</t>
  </si>
  <si>
    <t>217.31M</t>
  </si>
  <si>
    <t>160.99M</t>
  </si>
  <si>
    <t>155.76M</t>
  </si>
  <si>
    <t>145.28M</t>
  </si>
  <si>
    <t>179.12M</t>
  </si>
  <si>
    <t>177.21M</t>
  </si>
  <si>
    <t>189.02M</t>
  </si>
  <si>
    <t>198.78M</t>
  </si>
  <si>
    <t>177.73M</t>
  </si>
  <si>
    <t>178.10M</t>
  </si>
  <si>
    <t>209.10M</t>
  </si>
  <si>
    <t>311.64M</t>
  </si>
  <si>
    <t>360.81M</t>
  </si>
  <si>
    <t>250.64M</t>
  </si>
  <si>
    <t>175.12M</t>
  </si>
  <si>
    <t>171.58M</t>
  </si>
  <si>
    <t>178.42M</t>
  </si>
  <si>
    <t>126.55M</t>
  </si>
  <si>
    <t>164.75M</t>
  </si>
  <si>
    <t>162.28M</t>
  </si>
  <si>
    <t>161.89M</t>
  </si>
  <si>
    <t>189.93M</t>
  </si>
  <si>
    <t>144.19M</t>
  </si>
  <si>
    <t>136.76M</t>
  </si>
  <si>
    <t>196.39M</t>
  </si>
  <si>
    <t>231.35M</t>
  </si>
  <si>
    <t>206.31M</t>
  </si>
  <si>
    <t>207.01M</t>
  </si>
  <si>
    <t>204.02M</t>
  </si>
  <si>
    <t>165.79M</t>
  </si>
  <si>
    <t>179.49M</t>
  </si>
  <si>
    <t>171.76M</t>
  </si>
  <si>
    <t>148.55M</t>
  </si>
  <si>
    <t>143.71M</t>
  </si>
  <si>
    <t>124.80M</t>
  </si>
  <si>
    <t>142.75M</t>
  </si>
  <si>
    <t>139.64M</t>
  </si>
  <si>
    <t>200.38M</t>
  </si>
  <si>
    <t>223.35M</t>
  </si>
  <si>
    <t>187.97M</t>
  </si>
  <si>
    <t>206.19M</t>
  </si>
  <si>
    <t>159.59M</t>
  </si>
  <si>
    <t>160.13M</t>
  </si>
  <si>
    <t>137.97M</t>
  </si>
  <si>
    <t>131.33M</t>
  </si>
  <si>
    <t>172.46M</t>
  </si>
  <si>
    <t>153.54M</t>
  </si>
  <si>
    <t>176.86M</t>
  </si>
  <si>
    <t>183.53M</t>
  </si>
  <si>
    <t>148.24M</t>
  </si>
  <si>
    <t>120.10M</t>
  </si>
  <si>
    <t>97.69M</t>
  </si>
  <si>
    <t>120.01M</t>
  </si>
  <si>
    <t>139.74M</t>
  </si>
  <si>
    <t>65.53M</t>
  </si>
  <si>
    <t>174.87M</t>
  </si>
  <si>
    <t>129.06M</t>
  </si>
  <si>
    <t>324.93M</t>
  </si>
  <si>
    <t>176.10M</t>
  </si>
  <si>
    <t>222.78M</t>
  </si>
  <si>
    <t>148.59M</t>
  </si>
  <si>
    <t>164.78M</t>
  </si>
  <si>
    <t>204.27M</t>
  </si>
  <si>
    <t>182.14M</t>
  </si>
  <si>
    <t>162.79M</t>
  </si>
  <si>
    <t>144.72M</t>
  </si>
  <si>
    <t>204.38M</t>
  </si>
  <si>
    <t>143.97M</t>
  </si>
  <si>
    <t>167.36M</t>
  </si>
  <si>
    <t>165.14M</t>
  </si>
  <si>
    <t>182.63M</t>
  </si>
  <si>
    <t>188.13M</t>
  </si>
  <si>
    <t>121.33M</t>
  </si>
  <si>
    <t>183.85M</t>
  </si>
  <si>
    <t>320.60M</t>
  </si>
  <si>
    <t>256.62M</t>
  </si>
  <si>
    <t>346.93M</t>
  </si>
  <si>
    <t>343.50M</t>
  </si>
  <si>
    <t>247.25M</t>
  </si>
  <si>
    <t>213.60M</t>
  </si>
  <si>
    <t>173.63M</t>
  </si>
  <si>
    <t>186.59M</t>
  </si>
  <si>
    <t>207.42M</t>
  </si>
  <si>
    <t>154.94M</t>
  </si>
  <si>
    <t>176.48M</t>
  </si>
  <si>
    <t>198.90M</t>
  </si>
  <si>
    <t>264.94M</t>
  </si>
  <si>
    <t>223.03M</t>
  </si>
  <si>
    <t>171.35M</t>
  </si>
  <si>
    <t>188.92M</t>
  </si>
  <si>
    <t>180.27M</t>
  </si>
  <si>
    <t>179.80M</t>
  </si>
  <si>
    <t>178.86M</t>
  </si>
  <si>
    <t>308.83M</t>
  </si>
  <si>
    <t>297.99M</t>
  </si>
  <si>
    <t>153.45M</t>
  </si>
  <si>
    <t>131.30M</t>
  </si>
  <si>
    <t>111.36M</t>
  </si>
  <si>
    <t>162.25M</t>
  </si>
  <si>
    <t>124.24M</t>
  </si>
  <si>
    <t>128.54M</t>
  </si>
  <si>
    <t>173.14M</t>
  </si>
  <si>
    <t>179.72M</t>
  </si>
  <si>
    <t>214.45M</t>
  </si>
  <si>
    <t>205.64M</t>
  </si>
  <si>
    <t>153.48M</t>
  </si>
  <si>
    <t>268.77M</t>
  </si>
  <si>
    <t>183.00M</t>
  </si>
  <si>
    <t>130.17M</t>
  </si>
  <si>
    <t>140.09M</t>
  </si>
  <si>
    <t>157.68M</t>
  </si>
  <si>
    <t>137.60M</t>
  </si>
  <si>
    <t>136.81M</t>
  </si>
  <si>
    <t>173.84M</t>
  </si>
  <si>
    <t>236.98M</t>
  </si>
  <si>
    <t>193.06M</t>
  </si>
  <si>
    <t>148.57M</t>
  </si>
  <si>
    <t>191.59M</t>
  </si>
  <si>
    <t>143.56M</t>
  </si>
  <si>
    <t>192.56M</t>
  </si>
  <si>
    <t>269.64M</t>
  </si>
  <si>
    <t>237.18M</t>
  </si>
  <si>
    <t>191.76M</t>
  </si>
  <si>
    <t>211.84M</t>
  </si>
  <si>
    <t>140.74M</t>
  </si>
  <si>
    <t>147.06M</t>
  </si>
  <si>
    <t>124.91M</t>
  </si>
  <si>
    <t>151.16M</t>
  </si>
  <si>
    <t>226.85M</t>
  </si>
  <si>
    <t>157.55M</t>
  </si>
  <si>
    <t>163.77M</t>
  </si>
  <si>
    <t>224.44M</t>
  </si>
  <si>
    <t>141.67M</t>
  </si>
  <si>
    <t>164.42M</t>
  </si>
  <si>
    <t>231.16M</t>
  </si>
  <si>
    <t>243.26M</t>
  </si>
  <si>
    <t>281.79M</t>
  </si>
  <si>
    <t>235.52M</t>
  </si>
  <si>
    <t>168.69M</t>
  </si>
  <si>
    <t>163.01M</t>
  </si>
  <si>
    <t>172.79M</t>
  </si>
  <si>
    <t>140.04M</t>
  </si>
  <si>
    <t>215.14M</t>
  </si>
  <si>
    <t>185.23M</t>
  </si>
  <si>
    <t>132.01M</t>
  </si>
  <si>
    <t>156.60M</t>
  </si>
  <si>
    <t>129.55M</t>
  </si>
  <si>
    <t>179.87M</t>
  </si>
  <si>
    <t>145.73M</t>
  </si>
  <si>
    <t>138.32M</t>
  </si>
  <si>
    <t>123.40M</t>
  </si>
  <si>
    <t>151.88M</t>
  </si>
  <si>
    <t>137.19M</t>
  </si>
  <si>
    <t>156.41M</t>
  </si>
  <si>
    <t>148.17M</t>
  </si>
  <si>
    <t>204.53M</t>
  </si>
  <si>
    <t>221.69M</t>
  </si>
  <si>
    <t>174.31M</t>
  </si>
  <si>
    <t>154.08M</t>
  </si>
  <si>
    <t>140.02M</t>
  </si>
  <si>
    <t>122.32M</t>
  </si>
  <si>
    <t>128.98M</t>
  </si>
  <si>
    <t>193.11M</t>
  </si>
  <si>
    <t>123.13M</t>
  </si>
  <si>
    <t>146.46M</t>
  </si>
  <si>
    <t>160.84M</t>
  </si>
  <si>
    <t>158.83M</t>
  </si>
  <si>
    <t>230.63M</t>
  </si>
  <si>
    <t>136.98M</t>
  </si>
  <si>
    <t>193.63M</t>
  </si>
  <si>
    <t>167.70M</t>
  </si>
  <si>
    <t>183.66M</t>
  </si>
  <si>
    <t>138.13M</t>
  </si>
  <si>
    <t>140.14M</t>
  </si>
  <si>
    <t>143.72M</t>
  </si>
  <si>
    <t>171.22M</t>
  </si>
  <si>
    <t>213.14M</t>
  </si>
  <si>
    <t>194.58M</t>
  </si>
  <si>
    <t>263.23M</t>
  </si>
  <si>
    <t>198.15M</t>
  </si>
  <si>
    <t>269.15M</t>
  </si>
  <si>
    <t>187.57M</t>
  </si>
  <si>
    <t>154.31M</t>
  </si>
  <si>
    <t>242.96M</t>
  </si>
  <si>
    <t>161.49M</t>
  </si>
  <si>
    <t>139.11M</t>
  </si>
  <si>
    <t>183.13M</t>
  </si>
  <si>
    <t>180.82M</t>
  </si>
  <si>
    <t>162.36M</t>
  </si>
  <si>
    <t>167.69M</t>
  </si>
  <si>
    <t>155.88M</t>
  </si>
  <si>
    <t>185.11M</t>
  </si>
  <si>
    <t>153.99M</t>
  </si>
  <si>
    <t>232.41M</t>
  </si>
  <si>
    <t>167.12M</t>
  </si>
  <si>
    <t>225.58M</t>
  </si>
  <si>
    <t>197.66M</t>
  </si>
  <si>
    <t>333.17M</t>
  </si>
  <si>
    <t>370.62M</t>
  </si>
  <si>
    <t>304.02M</t>
  </si>
  <si>
    <t>192.95M</t>
  </si>
  <si>
    <t>198.82M</t>
  </si>
  <si>
    <t>46.10M</t>
  </si>
  <si>
    <t>42.64M</t>
  </si>
  <si>
    <t>45.29M</t>
  </si>
  <si>
    <t>46.50M</t>
  </si>
  <si>
    <t>52.69M</t>
  </si>
  <si>
    <t>46.07M</t>
  </si>
  <si>
    <t>68.28M</t>
  </si>
  <si>
    <t>60.57M</t>
  </si>
  <si>
    <t>78.38M</t>
  </si>
  <si>
    <t>65.05M</t>
  </si>
  <si>
    <t>64.29M</t>
  </si>
  <si>
    <t>53.47M</t>
  </si>
  <si>
    <t>47.78M</t>
  </si>
  <si>
    <t>48.77M</t>
  </si>
  <si>
    <t>65.34M</t>
  </si>
  <si>
    <t>51.08M</t>
  </si>
  <si>
    <t>45.38M</t>
  </si>
  <si>
    <t>50.86M</t>
  </si>
  <si>
    <t>66.74M</t>
  </si>
  <si>
    <t>62.89M</t>
  </si>
  <si>
    <t>93.97M</t>
  </si>
  <si>
    <t>62.36M</t>
  </si>
  <si>
    <t>50.53M</t>
  </si>
  <si>
    <t>64.60M</t>
  </si>
  <si>
    <t>90.64M</t>
  </si>
  <si>
    <t>63.52M</t>
  </si>
  <si>
    <t>113.81M</t>
  </si>
  <si>
    <t>59.98M</t>
  </si>
  <si>
    <t>53.62M</t>
  </si>
  <si>
    <t>51.34M</t>
  </si>
  <si>
    <t>62.16M</t>
  </si>
  <si>
    <t>78.84M</t>
  </si>
  <si>
    <t>74.52M</t>
  </si>
  <si>
    <t>77.70M</t>
  </si>
  <si>
    <t>83.03M</t>
  </si>
  <si>
    <t>58.68M</t>
  </si>
  <si>
    <t>75.53M</t>
  </si>
  <si>
    <t>67.95M</t>
  </si>
  <si>
    <t>62.07M</t>
  </si>
  <si>
    <t>55.52M</t>
  </si>
  <si>
    <t>55.16M</t>
  </si>
  <si>
    <t>60.00M</t>
  </si>
  <si>
    <t>74.61M</t>
  </si>
  <si>
    <t>78.63M</t>
  </si>
  <si>
    <t>67.08M</t>
  </si>
  <si>
    <t>46.89M</t>
  </si>
  <si>
    <t>58.07M</t>
  </si>
  <si>
    <t>58.50M</t>
  </si>
  <si>
    <t>60.97M</t>
  </si>
  <si>
    <t>62.56M</t>
  </si>
  <si>
    <t>59.26M</t>
  </si>
  <si>
    <t>67.02M</t>
  </si>
  <si>
    <t>64.05M</t>
  </si>
  <si>
    <t>51.93M</t>
  </si>
  <si>
    <t>68.31M</t>
  </si>
  <si>
    <t>62.62M</t>
  </si>
  <si>
    <t>55.09M</t>
  </si>
  <si>
    <t>56.89M</t>
  </si>
  <si>
    <t>53.60M</t>
  </si>
  <si>
    <t>54.81M</t>
  </si>
  <si>
    <t>58.58M</t>
  </si>
  <si>
    <t>69.68M</t>
  </si>
  <si>
    <t>57.91M</t>
  </si>
  <si>
    <t>51.02M</t>
  </si>
  <si>
    <t>45.92M</t>
  </si>
  <si>
    <t>59.68M</t>
  </si>
  <si>
    <t>51.43M</t>
  </si>
  <si>
    <t>61.93M</t>
  </si>
  <si>
    <t>57.36M</t>
  </si>
  <si>
    <t>64.45M</t>
  </si>
  <si>
    <t>54.48M</t>
  </si>
  <si>
    <t>62.68M</t>
  </si>
  <si>
    <t>72.82M</t>
  </si>
  <si>
    <t>58.74M</t>
  </si>
  <si>
    <t>82.63M</t>
  </si>
  <si>
    <t>81.69M</t>
  </si>
  <si>
    <t>54.86M</t>
  </si>
  <si>
    <t>37.73M</t>
  </si>
  <si>
    <t>49.40M</t>
  </si>
  <si>
    <t>56.77M</t>
  </si>
  <si>
    <t>71.55M</t>
  </si>
  <si>
    <t>68.12M</t>
  </si>
  <si>
    <t>63.19M</t>
  </si>
  <si>
    <t>60.22M</t>
  </si>
  <si>
    <t>49.47M</t>
  </si>
  <si>
    <t>57.26M</t>
  </si>
  <si>
    <t>53.72M</t>
  </si>
  <si>
    <t>61.65M</t>
  </si>
  <si>
    <t>67.33M</t>
  </si>
  <si>
    <t>57.04M</t>
  </si>
  <si>
    <t>59.83M</t>
  </si>
  <si>
    <t>89.09M</t>
  </si>
  <si>
    <t>67.94M</t>
  </si>
  <si>
    <t>85.54M</t>
  </si>
  <si>
    <t>49.08M</t>
  </si>
  <si>
    <t>59.24M</t>
  </si>
  <si>
    <t>66.26M</t>
  </si>
  <si>
    <t>58.78M</t>
  </si>
  <si>
    <t>41.29M</t>
  </si>
  <si>
    <t>58.22M</t>
  </si>
  <si>
    <t>86.92M</t>
  </si>
  <si>
    <t>103.31M</t>
  </si>
  <si>
    <t>95.17M</t>
  </si>
  <si>
    <t>106.49M</t>
  </si>
  <si>
    <t>107.61M</t>
  </si>
  <si>
    <t>114.54M</t>
  </si>
  <si>
    <t>95.66M</t>
  </si>
  <si>
    <t>55.98M</t>
  </si>
  <si>
    <t>63.26M</t>
  </si>
  <si>
    <t>62.37M</t>
  </si>
  <si>
    <t>69.17M</t>
  </si>
  <si>
    <t>56.43M</t>
  </si>
  <si>
    <t>71.91M</t>
  </si>
  <si>
    <t>87.48M</t>
  </si>
  <si>
    <t>69.34M</t>
  </si>
  <si>
    <t>57.46M</t>
  </si>
  <si>
    <t>36.25M</t>
  </si>
  <si>
    <t>63.46M</t>
  </si>
  <si>
    <t>71.92M</t>
  </si>
  <si>
    <t>96.81M</t>
  </si>
  <si>
    <t>100.46M</t>
  </si>
  <si>
    <t>113.55M</t>
  </si>
  <si>
    <t>72.05M</t>
  </si>
  <si>
    <t>80.69M</t>
  </si>
  <si>
    <t>102.21M</t>
  </si>
  <si>
    <t>105.51M</t>
  </si>
  <si>
    <t>118.95M</t>
  </si>
  <si>
    <t>58.51M</t>
  </si>
  <si>
    <t>60.53M</t>
  </si>
  <si>
    <t>76.52M</t>
  </si>
  <si>
    <t>103.47M</t>
  </si>
  <si>
    <t>109.62M</t>
  </si>
  <si>
    <t>85.57M</t>
  </si>
  <si>
    <t>87.76M</t>
  </si>
  <si>
    <t>84.60M</t>
  </si>
  <si>
    <t>83.14M</t>
  </si>
  <si>
    <t>72.45M</t>
  </si>
  <si>
    <t>67.98M</t>
  </si>
  <si>
    <t>80.19M</t>
  </si>
  <si>
    <t>105.87M</t>
  </si>
  <si>
    <t>94.73M</t>
  </si>
  <si>
    <t>126.71M</t>
  </si>
  <si>
    <t>84.02M</t>
  </si>
  <si>
    <t>54.41M</t>
  </si>
  <si>
    <t>63.72M</t>
  </si>
  <si>
    <t>89.33M</t>
  </si>
  <si>
    <t>77.19M</t>
  </si>
  <si>
    <t>71.56M</t>
  </si>
  <si>
    <t>72.67M</t>
  </si>
  <si>
    <t>79.55M</t>
  </si>
  <si>
    <t>112.11M</t>
  </si>
  <si>
    <t>71.19M</t>
  </si>
  <si>
    <t>102.30M</t>
  </si>
  <si>
    <t>85.32M</t>
  </si>
  <si>
    <t>133.19M</t>
  </si>
  <si>
    <t>137.01M</t>
  </si>
  <si>
    <t>98.12M</t>
  </si>
  <si>
    <t>74.36M</t>
  </si>
  <si>
    <t>79.49M</t>
  </si>
  <si>
    <t>101.63M</t>
  </si>
  <si>
    <t>96.75M</t>
  </si>
  <si>
    <t>93.13M</t>
  </si>
  <si>
    <t>83.42M</t>
  </si>
  <si>
    <t>97.11M</t>
  </si>
  <si>
    <t>90.45M</t>
  </si>
  <si>
    <t>106.13M</t>
  </si>
  <si>
    <t>104.29M</t>
  </si>
  <si>
    <t>163.82M</t>
  </si>
  <si>
    <t>168.16M</t>
  </si>
  <si>
    <t>103.76M</t>
  </si>
  <si>
    <t>72.12M</t>
  </si>
  <si>
    <t>53.82M</t>
  </si>
  <si>
    <t>75.21M</t>
  </si>
  <si>
    <t>108.99M</t>
  </si>
  <si>
    <t>60.71M</t>
  </si>
  <si>
    <t>88.73M</t>
  </si>
  <si>
    <t>58.39M</t>
  </si>
  <si>
    <t>81.15M</t>
  </si>
  <si>
    <t>67.90M</t>
  </si>
  <si>
    <t>65.52M</t>
  </si>
  <si>
    <t>76.65M</t>
  </si>
  <si>
    <t>86.67M</t>
  </si>
  <si>
    <t>94.02M</t>
  </si>
  <si>
    <t>55.74M</t>
  </si>
  <si>
    <t>77.48M</t>
  </si>
  <si>
    <t>75.96M</t>
  </si>
  <si>
    <t>56.96M</t>
  </si>
  <si>
    <t>74.32M</t>
  </si>
  <si>
    <t>75.00M</t>
  </si>
  <si>
    <t>67.84M</t>
  </si>
  <si>
    <t>105.32M</t>
  </si>
  <si>
    <t>91.20M</t>
  </si>
  <si>
    <t>66.66M</t>
  </si>
  <si>
    <t>78.52M</t>
  </si>
  <si>
    <t>57.96M</t>
  </si>
  <si>
    <t>78.68M</t>
  </si>
  <si>
    <t>89.12M</t>
  </si>
  <si>
    <t>85.27M</t>
  </si>
  <si>
    <t>83.93M</t>
  </si>
  <si>
    <t>87.36M</t>
  </si>
  <si>
    <t>112.67M</t>
  </si>
  <si>
    <t>148.23M</t>
  </si>
  <si>
    <t>156.97M</t>
  </si>
  <si>
    <t>92.55M</t>
  </si>
  <si>
    <t>77.37M</t>
  </si>
  <si>
    <t>75.77M</t>
  </si>
  <si>
    <t>94.25M</t>
  </si>
  <si>
    <t>73.92M</t>
  </si>
  <si>
    <t>97.28M</t>
  </si>
  <si>
    <t>77.56M</t>
  </si>
  <si>
    <t>78.04M</t>
  </si>
  <si>
    <t>79.24M</t>
  </si>
  <si>
    <t>104.37M</t>
  </si>
  <si>
    <t>75.59M</t>
  </si>
  <si>
    <t>103.25M</t>
  </si>
  <si>
    <t>131.18M</t>
  </si>
  <si>
    <t>58.04M</t>
  </si>
  <si>
    <t>119.48M</t>
  </si>
  <si>
    <t>145.09M</t>
  </si>
  <si>
    <t>76.70M</t>
  </si>
  <si>
    <t>89.07M</t>
  </si>
  <si>
    <t>80.44M</t>
  </si>
  <si>
    <t>119.85M</t>
  </si>
  <si>
    <t>114.74M</t>
  </si>
  <si>
    <t>190.72M</t>
  </si>
  <si>
    <t>108.69M</t>
  </si>
  <si>
    <t>95.14M</t>
  </si>
  <si>
    <t>88.28M</t>
  </si>
  <si>
    <t>128.96M</t>
  </si>
  <si>
    <t>105.13M</t>
  </si>
  <si>
    <t>122.61M</t>
  </si>
  <si>
    <t>151.26M</t>
  </si>
  <si>
    <t>140.91M</t>
  </si>
  <si>
    <t>292.82M</t>
  </si>
  <si>
    <t>98.91M</t>
  </si>
  <si>
    <t>99.32M</t>
  </si>
  <si>
    <t>81.87M</t>
  </si>
  <si>
    <t>123.47M</t>
  </si>
  <si>
    <t>88.55M</t>
  </si>
  <si>
    <t>91.40M</t>
  </si>
  <si>
    <t>120.15M</t>
  </si>
  <si>
    <t>84.65M</t>
  </si>
  <si>
    <t>STOCK</t>
  </si>
  <si>
    <t>AVG PRICE</t>
  </si>
  <si>
    <t>MSFT</t>
  </si>
  <si>
    <t>NVDA</t>
  </si>
  <si>
    <t>TSLA</t>
  </si>
  <si>
    <t xml:space="preserve">HIGHEST PRICE </t>
  </si>
  <si>
    <t>LOWEST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</si>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</sst>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$-409]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2" fillId="2" borderId="0" xfId="0" applyFont="1" applyFill="1"/>
    <xf numFmtId="164" fontId="0" fillId="0" borderId="0" xfId="1" applyNumberFormat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Closing</a:t>
            </a:r>
            <a:r>
              <a:rPr lang="en-GB" baseline="0"/>
              <a:t>  price comparsion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0455434379875536"/>
          <c:y val="8.8626045400238954E-2"/>
          <c:w val="0.87626086273218662"/>
          <c:h val="0.68754494397877686"/>
        </c:manualLayout>
      </c:layout>
      <c:lineChart>
        <c:grouping val="standard"/>
        <c:varyColors val="0"/>
        <c:ser>
          <c:idx val="0"/>
          <c:order val="0"/>
          <c:tx>
            <c:v>MSFT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'analysis sheet'!$B$15:$B$265</c:f>
              <c:numCache>
                <c:formatCode>m/d/yyyy</c:formatCode>
                <c:ptCount val="251"/>
                <c:pt idx="0">
                  <c:v>45800</c:v>
                </c:pt>
                <c:pt idx="1">
                  <c:v>45804</c:v>
                </c:pt>
                <c:pt idx="2">
                  <c:v>45805</c:v>
                </c:pt>
                <c:pt idx="3">
                  <c:v>45806</c:v>
                </c:pt>
                <c:pt idx="4">
                  <c:v>45807</c:v>
                </c:pt>
                <c:pt idx="5">
                  <c:v>45810</c:v>
                </c:pt>
                <c:pt idx="6">
                  <c:v>45811</c:v>
                </c:pt>
                <c:pt idx="7">
                  <c:v>45812</c:v>
                </c:pt>
                <c:pt idx="8">
                  <c:v>45813</c:v>
                </c:pt>
                <c:pt idx="9">
                  <c:v>45814</c:v>
                </c:pt>
                <c:pt idx="10">
                  <c:v>45817</c:v>
                </c:pt>
                <c:pt idx="11">
                  <c:v>45818</c:v>
                </c:pt>
                <c:pt idx="12">
                  <c:v>45819</c:v>
                </c:pt>
                <c:pt idx="13">
                  <c:v>45820</c:v>
                </c:pt>
                <c:pt idx="14">
                  <c:v>45821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45828</c:v>
                </c:pt>
                <c:pt idx="19">
                  <c:v>45831</c:v>
                </c:pt>
                <c:pt idx="20">
                  <c:v>45832</c:v>
                </c:pt>
                <c:pt idx="21">
                  <c:v>45833</c:v>
                </c:pt>
                <c:pt idx="22">
                  <c:v>45834</c:v>
                </c:pt>
                <c:pt idx="23">
                  <c:v>45835</c:v>
                </c:pt>
                <c:pt idx="24">
                  <c:v>45838</c:v>
                </c:pt>
                <c:pt idx="25">
                  <c:v>45839</c:v>
                </c:pt>
                <c:pt idx="26">
                  <c:v>45840</c:v>
                </c:pt>
                <c:pt idx="27">
                  <c:v>45841</c:v>
                </c:pt>
                <c:pt idx="28">
                  <c:v>45845</c:v>
                </c:pt>
                <c:pt idx="29">
                  <c:v>45846</c:v>
                </c:pt>
                <c:pt idx="30">
                  <c:v>45847</c:v>
                </c:pt>
                <c:pt idx="31">
                  <c:v>45848</c:v>
                </c:pt>
                <c:pt idx="32">
                  <c:v>45849</c:v>
                </c:pt>
                <c:pt idx="33">
                  <c:v>45852</c:v>
                </c:pt>
                <c:pt idx="34">
                  <c:v>45853</c:v>
                </c:pt>
                <c:pt idx="35">
                  <c:v>45854</c:v>
                </c:pt>
                <c:pt idx="36">
                  <c:v>45855</c:v>
                </c:pt>
                <c:pt idx="37">
                  <c:v>45856</c:v>
                </c:pt>
                <c:pt idx="38">
                  <c:v>45859</c:v>
                </c:pt>
                <c:pt idx="39">
                  <c:v>45860</c:v>
                </c:pt>
                <c:pt idx="40">
                  <c:v>45861</c:v>
                </c:pt>
                <c:pt idx="41">
                  <c:v>45862</c:v>
                </c:pt>
                <c:pt idx="42">
                  <c:v>45863</c:v>
                </c:pt>
                <c:pt idx="43">
                  <c:v>45866</c:v>
                </c:pt>
                <c:pt idx="44">
                  <c:v>45867</c:v>
                </c:pt>
                <c:pt idx="45">
                  <c:v>45868</c:v>
                </c:pt>
                <c:pt idx="46">
                  <c:v>45869</c:v>
                </c:pt>
                <c:pt idx="47">
                  <c:v>45870</c:v>
                </c:pt>
                <c:pt idx="48">
                  <c:v>45873</c:v>
                </c:pt>
                <c:pt idx="49">
                  <c:v>45874</c:v>
                </c:pt>
                <c:pt idx="50">
                  <c:v>45875</c:v>
                </c:pt>
                <c:pt idx="51">
                  <c:v>45876</c:v>
                </c:pt>
                <c:pt idx="52">
                  <c:v>45877</c:v>
                </c:pt>
                <c:pt idx="53">
                  <c:v>45880</c:v>
                </c:pt>
                <c:pt idx="54">
                  <c:v>45881</c:v>
                </c:pt>
                <c:pt idx="55">
                  <c:v>45882</c:v>
                </c:pt>
                <c:pt idx="56">
                  <c:v>45883</c:v>
                </c:pt>
                <c:pt idx="57">
                  <c:v>45884</c:v>
                </c:pt>
                <c:pt idx="58">
                  <c:v>45887</c:v>
                </c:pt>
                <c:pt idx="59">
                  <c:v>45888</c:v>
                </c:pt>
                <c:pt idx="60">
                  <c:v>45889</c:v>
                </c:pt>
                <c:pt idx="61">
                  <c:v>45890</c:v>
                </c:pt>
                <c:pt idx="62">
                  <c:v>45891</c:v>
                </c:pt>
                <c:pt idx="63">
                  <c:v>45894</c:v>
                </c:pt>
                <c:pt idx="64">
                  <c:v>45895</c:v>
                </c:pt>
                <c:pt idx="65">
                  <c:v>45896</c:v>
                </c:pt>
                <c:pt idx="66">
                  <c:v>45897</c:v>
                </c:pt>
                <c:pt idx="67">
                  <c:v>45898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45989</c:v>
                </c:pt>
                <c:pt idx="131">
                  <c:v>45992</c:v>
                </c:pt>
                <c:pt idx="132">
                  <c:v>45993</c:v>
                </c:pt>
                <c:pt idx="133">
                  <c:v>45994</c:v>
                </c:pt>
                <c:pt idx="134">
                  <c:v>45995</c:v>
                </c:pt>
                <c:pt idx="135">
                  <c:v>45996</c:v>
                </c:pt>
                <c:pt idx="136">
                  <c:v>45999</c:v>
                </c:pt>
                <c:pt idx="137">
                  <c:v>46000</c:v>
                </c:pt>
                <c:pt idx="138">
                  <c:v>46001</c:v>
                </c:pt>
                <c:pt idx="139">
                  <c:v>46002</c:v>
                </c:pt>
                <c:pt idx="140">
                  <c:v>46003</c:v>
                </c:pt>
                <c:pt idx="141">
                  <c:v>46006</c:v>
                </c:pt>
                <c:pt idx="142">
                  <c:v>46007</c:v>
                </c:pt>
                <c:pt idx="143">
                  <c:v>46008</c:v>
                </c:pt>
                <c:pt idx="144">
                  <c:v>46009</c:v>
                </c:pt>
                <c:pt idx="145">
                  <c:v>46010</c:v>
                </c:pt>
                <c:pt idx="146">
                  <c:v>46013</c:v>
                </c:pt>
                <c:pt idx="147">
                  <c:v>46014</c:v>
                </c:pt>
                <c:pt idx="148">
                  <c:v>46015</c:v>
                </c:pt>
                <c:pt idx="149">
                  <c:v>46017</c:v>
                </c:pt>
                <c:pt idx="150">
                  <c:v>46020</c:v>
                </c:pt>
                <c:pt idx="151">
                  <c:v>46021</c:v>
                </c:pt>
                <c:pt idx="152">
                  <c:v>46022</c:v>
                </c:pt>
                <c:pt idx="153">
                  <c:v>46024</c:v>
                </c:pt>
                <c:pt idx="154">
                  <c:v>46027</c:v>
                </c:pt>
                <c:pt idx="155">
                  <c:v>46028</c:v>
                </c:pt>
                <c:pt idx="156">
                  <c:v>46029</c:v>
                </c:pt>
                <c:pt idx="157">
                  <c:v>46030</c:v>
                </c:pt>
                <c:pt idx="158">
                  <c:v>46031</c:v>
                </c:pt>
                <c:pt idx="159">
                  <c:v>46034</c:v>
                </c:pt>
                <c:pt idx="160">
                  <c:v>46035</c:v>
                </c:pt>
                <c:pt idx="161">
                  <c:v>46036</c:v>
                </c:pt>
                <c:pt idx="162">
                  <c:v>46037</c:v>
                </c:pt>
                <c:pt idx="163">
                  <c:v>46038</c:v>
                </c:pt>
                <c:pt idx="164">
                  <c:v>46042</c:v>
                </c:pt>
                <c:pt idx="165">
                  <c:v>46043</c:v>
                </c:pt>
                <c:pt idx="166">
                  <c:v>46044</c:v>
                </c:pt>
                <c:pt idx="167">
                  <c:v>46045</c:v>
                </c:pt>
                <c:pt idx="168">
                  <c:v>46048</c:v>
                </c:pt>
                <c:pt idx="169">
                  <c:v>46049</c:v>
                </c:pt>
                <c:pt idx="170">
                  <c:v>46050</c:v>
                </c:pt>
                <c:pt idx="171">
                  <c:v>46051</c:v>
                </c:pt>
                <c:pt idx="172">
                  <c:v>46052</c:v>
                </c:pt>
                <c:pt idx="173">
                  <c:v>46055</c:v>
                </c:pt>
                <c:pt idx="174">
                  <c:v>46056</c:v>
                </c:pt>
                <c:pt idx="175">
                  <c:v>46057</c:v>
                </c:pt>
                <c:pt idx="176">
                  <c:v>46058</c:v>
                </c:pt>
                <c:pt idx="177">
                  <c:v>46059</c:v>
                </c:pt>
                <c:pt idx="178">
                  <c:v>46062</c:v>
                </c:pt>
                <c:pt idx="179">
                  <c:v>46063</c:v>
                </c:pt>
                <c:pt idx="180">
                  <c:v>46064</c:v>
                </c:pt>
                <c:pt idx="181">
                  <c:v>46065</c:v>
                </c:pt>
                <c:pt idx="182">
                  <c:v>46066</c:v>
                </c:pt>
                <c:pt idx="183">
                  <c:v>46070</c:v>
                </c:pt>
                <c:pt idx="184">
                  <c:v>46071</c:v>
                </c:pt>
                <c:pt idx="185">
                  <c:v>46072</c:v>
                </c:pt>
                <c:pt idx="186">
                  <c:v>46073</c:v>
                </c:pt>
                <c:pt idx="187">
                  <c:v>46076</c:v>
                </c:pt>
                <c:pt idx="188">
                  <c:v>46077</c:v>
                </c:pt>
                <c:pt idx="189">
                  <c:v>46078</c:v>
                </c:pt>
                <c:pt idx="190">
                  <c:v>46079</c:v>
                </c:pt>
                <c:pt idx="191">
                  <c:v>46080</c:v>
                </c:pt>
                <c:pt idx="192">
                  <c:v>46083</c:v>
                </c:pt>
                <c:pt idx="193">
                  <c:v>46084</c:v>
                </c:pt>
                <c:pt idx="194">
                  <c:v>46085</c:v>
                </c:pt>
                <c:pt idx="195">
                  <c:v>46086</c:v>
                </c:pt>
                <c:pt idx="196">
                  <c:v>46087</c:v>
                </c:pt>
                <c:pt idx="197">
                  <c:v>46090</c:v>
                </c:pt>
                <c:pt idx="198">
                  <c:v>46091</c:v>
                </c:pt>
                <c:pt idx="199">
                  <c:v>46092</c:v>
                </c:pt>
                <c:pt idx="200">
                  <c:v>46093</c:v>
                </c:pt>
                <c:pt idx="201">
                  <c:v>46094</c:v>
                </c:pt>
                <c:pt idx="202">
                  <c:v>46097</c:v>
                </c:pt>
                <c:pt idx="203">
                  <c:v>46098</c:v>
                </c:pt>
                <c:pt idx="204">
                  <c:v>46099</c:v>
                </c:pt>
                <c:pt idx="205">
                  <c:v>46100</c:v>
                </c:pt>
                <c:pt idx="206">
                  <c:v>46101</c:v>
                </c:pt>
                <c:pt idx="207">
                  <c:v>46104</c:v>
                </c:pt>
                <c:pt idx="208">
                  <c:v>46105</c:v>
                </c:pt>
                <c:pt idx="209">
                  <c:v>46106</c:v>
                </c:pt>
                <c:pt idx="210">
                  <c:v>46107</c:v>
                </c:pt>
                <c:pt idx="211">
                  <c:v>46108</c:v>
                </c:pt>
                <c:pt idx="212">
                  <c:v>46111</c:v>
                </c:pt>
                <c:pt idx="213">
                  <c:v>46112</c:v>
                </c:pt>
                <c:pt idx="214">
                  <c:v>46113</c:v>
                </c:pt>
                <c:pt idx="215">
                  <c:v>46114</c:v>
                </c:pt>
                <c:pt idx="216">
                  <c:v>46118</c:v>
                </c:pt>
                <c:pt idx="217">
                  <c:v>46119</c:v>
                </c:pt>
                <c:pt idx="218">
                  <c:v>46120</c:v>
                </c:pt>
                <c:pt idx="219">
                  <c:v>46121</c:v>
                </c:pt>
                <c:pt idx="220">
                  <c:v>46122</c:v>
                </c:pt>
                <c:pt idx="221">
                  <c:v>46125</c:v>
                </c:pt>
                <c:pt idx="222">
                  <c:v>46126</c:v>
                </c:pt>
                <c:pt idx="223">
                  <c:v>46127</c:v>
                </c:pt>
                <c:pt idx="224">
                  <c:v>46128</c:v>
                </c:pt>
                <c:pt idx="225">
                  <c:v>46129</c:v>
                </c:pt>
                <c:pt idx="226">
                  <c:v>46132</c:v>
                </c:pt>
                <c:pt idx="227">
                  <c:v>46133</c:v>
                </c:pt>
                <c:pt idx="228">
                  <c:v>46134</c:v>
                </c:pt>
                <c:pt idx="229">
                  <c:v>46135</c:v>
                </c:pt>
                <c:pt idx="230">
                  <c:v>46136</c:v>
                </c:pt>
                <c:pt idx="231">
                  <c:v>46139</c:v>
                </c:pt>
                <c:pt idx="232">
                  <c:v>46140</c:v>
                </c:pt>
                <c:pt idx="233">
                  <c:v>46141</c:v>
                </c:pt>
                <c:pt idx="234">
                  <c:v>46142</c:v>
                </c:pt>
                <c:pt idx="235">
                  <c:v>46143</c:v>
                </c:pt>
                <c:pt idx="236">
                  <c:v>46146</c:v>
                </c:pt>
                <c:pt idx="237">
                  <c:v>46147</c:v>
                </c:pt>
                <c:pt idx="238">
                  <c:v>46148</c:v>
                </c:pt>
                <c:pt idx="239">
                  <c:v>46149</c:v>
                </c:pt>
                <c:pt idx="240">
                  <c:v>46150</c:v>
                </c:pt>
                <c:pt idx="241">
                  <c:v>46153</c:v>
                </c:pt>
                <c:pt idx="242">
                  <c:v>46154</c:v>
                </c:pt>
                <c:pt idx="243">
                  <c:v>46155</c:v>
                </c:pt>
                <c:pt idx="244">
                  <c:v>46156</c:v>
                </c:pt>
                <c:pt idx="245">
                  <c:v>46157</c:v>
                </c:pt>
                <c:pt idx="246">
                  <c:v>46160</c:v>
                </c:pt>
                <c:pt idx="247">
                  <c:v>46161</c:v>
                </c:pt>
                <c:pt idx="248">
                  <c:v>46162</c:v>
                </c:pt>
                <c:pt idx="249">
                  <c:v>46163</c:v>
                </c:pt>
                <c:pt idx="250">
                  <c:v>46164</c:v>
                </c:pt>
              </c:numCache>
            </c:numRef>
          </c:cat>
          <c:val>
            <c:numRef>
              <c:f>'analysis sheet'!$C$15:$C$265</c:f>
              <c:numCache>
                <c:formatCode>[$$-409]#,##0.00</c:formatCode>
                <c:ptCount val="251"/>
                <c:pt idx="0">
                  <c:v>450.18</c:v>
                </c:pt>
                <c:pt idx="1">
                  <c:v>460.69</c:v>
                </c:pt>
                <c:pt idx="2">
                  <c:v>457.36</c:v>
                </c:pt>
                <c:pt idx="3">
                  <c:v>458.68</c:v>
                </c:pt>
                <c:pt idx="4">
                  <c:v>460.36</c:v>
                </c:pt>
                <c:pt idx="5">
                  <c:v>461.97</c:v>
                </c:pt>
                <c:pt idx="6">
                  <c:v>462.97</c:v>
                </c:pt>
                <c:pt idx="7">
                  <c:v>463.87</c:v>
                </c:pt>
                <c:pt idx="8">
                  <c:v>467.68</c:v>
                </c:pt>
                <c:pt idx="9">
                  <c:v>470.38</c:v>
                </c:pt>
                <c:pt idx="10">
                  <c:v>472.75</c:v>
                </c:pt>
                <c:pt idx="11">
                  <c:v>470.92</c:v>
                </c:pt>
                <c:pt idx="12">
                  <c:v>472.62</c:v>
                </c:pt>
                <c:pt idx="13">
                  <c:v>478.87</c:v>
                </c:pt>
                <c:pt idx="14">
                  <c:v>474.96</c:v>
                </c:pt>
                <c:pt idx="15">
                  <c:v>479.14</c:v>
                </c:pt>
                <c:pt idx="16">
                  <c:v>478.04</c:v>
                </c:pt>
                <c:pt idx="17">
                  <c:v>480.24</c:v>
                </c:pt>
                <c:pt idx="18">
                  <c:v>477.4</c:v>
                </c:pt>
                <c:pt idx="19">
                  <c:v>486</c:v>
                </c:pt>
                <c:pt idx="20">
                  <c:v>490.11</c:v>
                </c:pt>
                <c:pt idx="21">
                  <c:v>492.27</c:v>
                </c:pt>
                <c:pt idx="22">
                  <c:v>497.45</c:v>
                </c:pt>
                <c:pt idx="23">
                  <c:v>495.94</c:v>
                </c:pt>
                <c:pt idx="24">
                  <c:v>497.41</c:v>
                </c:pt>
                <c:pt idx="25">
                  <c:v>492.05</c:v>
                </c:pt>
                <c:pt idx="26">
                  <c:v>491.09</c:v>
                </c:pt>
                <c:pt idx="27">
                  <c:v>498.84</c:v>
                </c:pt>
                <c:pt idx="28">
                  <c:v>497.72</c:v>
                </c:pt>
                <c:pt idx="29">
                  <c:v>496.62</c:v>
                </c:pt>
                <c:pt idx="30">
                  <c:v>503.51</c:v>
                </c:pt>
                <c:pt idx="31">
                  <c:v>501.48</c:v>
                </c:pt>
                <c:pt idx="32">
                  <c:v>503.32</c:v>
                </c:pt>
                <c:pt idx="33">
                  <c:v>503.02</c:v>
                </c:pt>
                <c:pt idx="34">
                  <c:v>505.82</c:v>
                </c:pt>
                <c:pt idx="35">
                  <c:v>505.62</c:v>
                </c:pt>
                <c:pt idx="36">
                  <c:v>511.7</c:v>
                </c:pt>
                <c:pt idx="37">
                  <c:v>510.05</c:v>
                </c:pt>
                <c:pt idx="38">
                  <c:v>510.06</c:v>
                </c:pt>
                <c:pt idx="39">
                  <c:v>505.27</c:v>
                </c:pt>
                <c:pt idx="40">
                  <c:v>505.87</c:v>
                </c:pt>
                <c:pt idx="41">
                  <c:v>510.88</c:v>
                </c:pt>
                <c:pt idx="42">
                  <c:v>513.71</c:v>
                </c:pt>
                <c:pt idx="43">
                  <c:v>512.5</c:v>
                </c:pt>
                <c:pt idx="44">
                  <c:v>512.57000000000005</c:v>
                </c:pt>
                <c:pt idx="45">
                  <c:v>513.24</c:v>
                </c:pt>
                <c:pt idx="46">
                  <c:v>533.5</c:v>
                </c:pt>
                <c:pt idx="47">
                  <c:v>524.11</c:v>
                </c:pt>
                <c:pt idx="48">
                  <c:v>535.64</c:v>
                </c:pt>
                <c:pt idx="49">
                  <c:v>527.75</c:v>
                </c:pt>
                <c:pt idx="50">
                  <c:v>524.94000000000005</c:v>
                </c:pt>
                <c:pt idx="51">
                  <c:v>520.84</c:v>
                </c:pt>
                <c:pt idx="52">
                  <c:v>522.04</c:v>
                </c:pt>
                <c:pt idx="53">
                  <c:v>521.77</c:v>
                </c:pt>
                <c:pt idx="54">
                  <c:v>529.24</c:v>
                </c:pt>
                <c:pt idx="55">
                  <c:v>520.58000000000004</c:v>
                </c:pt>
                <c:pt idx="56">
                  <c:v>522.48</c:v>
                </c:pt>
                <c:pt idx="57">
                  <c:v>520.16999999999996</c:v>
                </c:pt>
                <c:pt idx="58">
                  <c:v>517.1</c:v>
                </c:pt>
                <c:pt idx="59">
                  <c:v>509.77</c:v>
                </c:pt>
                <c:pt idx="60">
                  <c:v>505.72</c:v>
                </c:pt>
                <c:pt idx="61">
                  <c:v>504.24</c:v>
                </c:pt>
                <c:pt idx="62">
                  <c:v>507.23</c:v>
                </c:pt>
                <c:pt idx="63">
                  <c:v>504.26</c:v>
                </c:pt>
                <c:pt idx="64">
                  <c:v>502.04</c:v>
                </c:pt>
                <c:pt idx="65">
                  <c:v>506.74</c:v>
                </c:pt>
                <c:pt idx="66">
                  <c:v>509.64</c:v>
                </c:pt>
                <c:pt idx="67">
                  <c:v>506.69</c:v>
                </c:pt>
                <c:pt idx="68">
                  <c:v>505.12</c:v>
                </c:pt>
                <c:pt idx="69">
                  <c:v>505.35</c:v>
                </c:pt>
                <c:pt idx="70">
                  <c:v>507.97</c:v>
                </c:pt>
                <c:pt idx="71">
                  <c:v>495</c:v>
                </c:pt>
                <c:pt idx="72">
                  <c:v>498.2</c:v>
                </c:pt>
                <c:pt idx="73">
                  <c:v>498.41</c:v>
                </c:pt>
                <c:pt idx="74">
                  <c:v>500.37</c:v>
                </c:pt>
                <c:pt idx="75">
                  <c:v>501.01</c:v>
                </c:pt>
                <c:pt idx="76">
                  <c:v>509.9</c:v>
                </c:pt>
                <c:pt idx="77">
                  <c:v>515.36</c:v>
                </c:pt>
                <c:pt idx="78">
                  <c:v>509.04</c:v>
                </c:pt>
                <c:pt idx="79">
                  <c:v>510.02</c:v>
                </c:pt>
                <c:pt idx="80">
                  <c:v>508.45</c:v>
                </c:pt>
                <c:pt idx="81">
                  <c:v>517.92999999999995</c:v>
                </c:pt>
                <c:pt idx="82">
                  <c:v>514.45000000000005</c:v>
                </c:pt>
                <c:pt idx="83">
                  <c:v>509.23</c:v>
                </c:pt>
                <c:pt idx="84">
                  <c:v>510.15</c:v>
                </c:pt>
                <c:pt idx="85">
                  <c:v>507.03</c:v>
                </c:pt>
                <c:pt idx="86">
                  <c:v>511.46</c:v>
                </c:pt>
                <c:pt idx="87">
                  <c:v>514.6</c:v>
                </c:pt>
                <c:pt idx="88">
                  <c:v>517.95000000000005</c:v>
                </c:pt>
                <c:pt idx="89">
                  <c:v>519.71</c:v>
                </c:pt>
                <c:pt idx="90">
                  <c:v>515.74</c:v>
                </c:pt>
                <c:pt idx="91">
                  <c:v>517.35</c:v>
                </c:pt>
                <c:pt idx="92">
                  <c:v>528.57000000000005</c:v>
                </c:pt>
                <c:pt idx="93">
                  <c:v>523.98</c:v>
                </c:pt>
                <c:pt idx="94">
                  <c:v>524.85</c:v>
                </c:pt>
                <c:pt idx="95">
                  <c:v>522.4</c:v>
                </c:pt>
                <c:pt idx="96">
                  <c:v>510.96</c:v>
                </c:pt>
                <c:pt idx="97">
                  <c:v>514.04999999999995</c:v>
                </c:pt>
                <c:pt idx="98">
                  <c:v>513.57000000000005</c:v>
                </c:pt>
                <c:pt idx="99">
                  <c:v>513.42999999999995</c:v>
                </c:pt>
                <c:pt idx="100">
                  <c:v>511.61</c:v>
                </c:pt>
                <c:pt idx="101">
                  <c:v>513.58000000000004</c:v>
                </c:pt>
                <c:pt idx="102">
                  <c:v>516.79</c:v>
                </c:pt>
                <c:pt idx="103">
                  <c:v>517.66</c:v>
                </c:pt>
                <c:pt idx="104">
                  <c:v>520.54</c:v>
                </c:pt>
                <c:pt idx="105">
                  <c:v>520.55999999999995</c:v>
                </c:pt>
                <c:pt idx="106">
                  <c:v>523.61</c:v>
                </c:pt>
                <c:pt idx="107">
                  <c:v>531.52</c:v>
                </c:pt>
                <c:pt idx="108">
                  <c:v>542.07000000000005</c:v>
                </c:pt>
                <c:pt idx="109">
                  <c:v>541.54999999999995</c:v>
                </c:pt>
                <c:pt idx="110">
                  <c:v>525.76</c:v>
                </c:pt>
                <c:pt idx="111">
                  <c:v>517.80999999999995</c:v>
                </c:pt>
                <c:pt idx="112">
                  <c:v>517.03</c:v>
                </c:pt>
                <c:pt idx="113">
                  <c:v>514.33000000000004</c:v>
                </c:pt>
                <c:pt idx="114">
                  <c:v>507.16</c:v>
                </c:pt>
                <c:pt idx="115">
                  <c:v>497.1</c:v>
                </c:pt>
                <c:pt idx="116">
                  <c:v>496.82</c:v>
                </c:pt>
                <c:pt idx="117">
                  <c:v>506</c:v>
                </c:pt>
                <c:pt idx="118">
                  <c:v>508.68</c:v>
                </c:pt>
                <c:pt idx="119">
                  <c:v>511.14</c:v>
                </c:pt>
                <c:pt idx="120">
                  <c:v>503.29</c:v>
                </c:pt>
                <c:pt idx="121">
                  <c:v>510.18</c:v>
                </c:pt>
                <c:pt idx="122">
                  <c:v>507.49</c:v>
                </c:pt>
                <c:pt idx="123">
                  <c:v>493.79</c:v>
                </c:pt>
                <c:pt idx="124">
                  <c:v>487.12</c:v>
                </c:pt>
                <c:pt idx="125">
                  <c:v>478.43</c:v>
                </c:pt>
                <c:pt idx="126">
                  <c:v>472.12</c:v>
                </c:pt>
                <c:pt idx="127">
                  <c:v>474</c:v>
                </c:pt>
                <c:pt idx="128">
                  <c:v>476.99</c:v>
                </c:pt>
                <c:pt idx="129">
                  <c:v>485.5</c:v>
                </c:pt>
                <c:pt idx="130">
                  <c:v>492.01</c:v>
                </c:pt>
                <c:pt idx="131">
                  <c:v>486.74</c:v>
                </c:pt>
                <c:pt idx="132">
                  <c:v>490</c:v>
                </c:pt>
                <c:pt idx="133">
                  <c:v>477.73</c:v>
                </c:pt>
                <c:pt idx="134">
                  <c:v>480.84</c:v>
                </c:pt>
                <c:pt idx="135">
                  <c:v>483.16</c:v>
                </c:pt>
                <c:pt idx="136">
                  <c:v>491.02</c:v>
                </c:pt>
                <c:pt idx="137">
                  <c:v>492.02</c:v>
                </c:pt>
                <c:pt idx="138">
                  <c:v>478.56</c:v>
                </c:pt>
                <c:pt idx="139">
                  <c:v>483.47</c:v>
                </c:pt>
                <c:pt idx="140">
                  <c:v>478.53</c:v>
                </c:pt>
                <c:pt idx="141">
                  <c:v>474.82</c:v>
                </c:pt>
                <c:pt idx="142">
                  <c:v>476.39</c:v>
                </c:pt>
                <c:pt idx="143">
                  <c:v>476.12</c:v>
                </c:pt>
                <c:pt idx="144">
                  <c:v>483.98</c:v>
                </c:pt>
                <c:pt idx="145">
                  <c:v>485.92</c:v>
                </c:pt>
                <c:pt idx="146">
                  <c:v>484.92</c:v>
                </c:pt>
                <c:pt idx="147">
                  <c:v>486.85</c:v>
                </c:pt>
                <c:pt idx="148">
                  <c:v>488.02</c:v>
                </c:pt>
                <c:pt idx="149">
                  <c:v>487.71</c:v>
                </c:pt>
                <c:pt idx="150">
                  <c:v>487.1</c:v>
                </c:pt>
                <c:pt idx="151">
                  <c:v>487.48</c:v>
                </c:pt>
                <c:pt idx="152">
                  <c:v>483.62</c:v>
                </c:pt>
                <c:pt idx="153">
                  <c:v>472.94</c:v>
                </c:pt>
                <c:pt idx="154">
                  <c:v>472.85</c:v>
                </c:pt>
                <c:pt idx="155">
                  <c:v>478.51</c:v>
                </c:pt>
                <c:pt idx="156">
                  <c:v>483.47</c:v>
                </c:pt>
                <c:pt idx="157">
                  <c:v>478.11</c:v>
                </c:pt>
                <c:pt idx="158">
                  <c:v>479.28</c:v>
                </c:pt>
                <c:pt idx="159">
                  <c:v>477.18</c:v>
                </c:pt>
                <c:pt idx="160">
                  <c:v>470.67</c:v>
                </c:pt>
                <c:pt idx="161">
                  <c:v>459.38</c:v>
                </c:pt>
                <c:pt idx="162">
                  <c:v>456.66</c:v>
                </c:pt>
                <c:pt idx="163">
                  <c:v>459.86</c:v>
                </c:pt>
                <c:pt idx="164">
                  <c:v>454.52</c:v>
                </c:pt>
                <c:pt idx="165">
                  <c:v>444.11</c:v>
                </c:pt>
                <c:pt idx="166">
                  <c:v>451.14</c:v>
                </c:pt>
                <c:pt idx="167">
                  <c:v>465.95</c:v>
                </c:pt>
                <c:pt idx="168">
                  <c:v>470.28</c:v>
                </c:pt>
                <c:pt idx="169">
                  <c:v>480.58</c:v>
                </c:pt>
                <c:pt idx="170">
                  <c:v>481.63</c:v>
                </c:pt>
                <c:pt idx="171">
                  <c:v>433.5</c:v>
                </c:pt>
                <c:pt idx="172">
                  <c:v>430.29</c:v>
                </c:pt>
                <c:pt idx="173">
                  <c:v>423.37</c:v>
                </c:pt>
                <c:pt idx="174">
                  <c:v>411.21</c:v>
                </c:pt>
                <c:pt idx="175">
                  <c:v>414.19</c:v>
                </c:pt>
                <c:pt idx="176">
                  <c:v>393.67</c:v>
                </c:pt>
                <c:pt idx="177">
                  <c:v>401.14</c:v>
                </c:pt>
                <c:pt idx="178">
                  <c:v>413.6</c:v>
                </c:pt>
                <c:pt idx="179">
                  <c:v>413.27</c:v>
                </c:pt>
                <c:pt idx="180">
                  <c:v>404.37</c:v>
                </c:pt>
                <c:pt idx="181">
                  <c:v>401.84</c:v>
                </c:pt>
                <c:pt idx="182">
                  <c:v>401.32</c:v>
                </c:pt>
                <c:pt idx="183">
                  <c:v>396.86</c:v>
                </c:pt>
                <c:pt idx="184">
                  <c:v>399.6</c:v>
                </c:pt>
                <c:pt idx="185">
                  <c:v>398.46</c:v>
                </c:pt>
                <c:pt idx="186">
                  <c:v>397.23</c:v>
                </c:pt>
                <c:pt idx="187">
                  <c:v>384.47</c:v>
                </c:pt>
                <c:pt idx="188">
                  <c:v>389</c:v>
                </c:pt>
                <c:pt idx="189">
                  <c:v>400.6</c:v>
                </c:pt>
                <c:pt idx="190">
                  <c:v>401.72</c:v>
                </c:pt>
                <c:pt idx="191">
                  <c:v>392.74</c:v>
                </c:pt>
                <c:pt idx="192">
                  <c:v>398.55</c:v>
                </c:pt>
                <c:pt idx="193">
                  <c:v>403.93</c:v>
                </c:pt>
                <c:pt idx="194">
                  <c:v>405.2</c:v>
                </c:pt>
                <c:pt idx="195">
                  <c:v>410.68</c:v>
                </c:pt>
                <c:pt idx="196">
                  <c:v>408.96</c:v>
                </c:pt>
                <c:pt idx="197">
                  <c:v>409.41</c:v>
                </c:pt>
                <c:pt idx="198">
                  <c:v>405.76</c:v>
                </c:pt>
                <c:pt idx="199">
                  <c:v>404.88</c:v>
                </c:pt>
                <c:pt idx="200">
                  <c:v>401.86</c:v>
                </c:pt>
                <c:pt idx="201">
                  <c:v>395.55</c:v>
                </c:pt>
                <c:pt idx="202">
                  <c:v>399.95</c:v>
                </c:pt>
                <c:pt idx="203">
                  <c:v>399.41</c:v>
                </c:pt>
                <c:pt idx="204">
                  <c:v>391.79</c:v>
                </c:pt>
                <c:pt idx="205">
                  <c:v>389.02</c:v>
                </c:pt>
                <c:pt idx="206">
                  <c:v>381.87</c:v>
                </c:pt>
                <c:pt idx="207">
                  <c:v>383</c:v>
                </c:pt>
                <c:pt idx="208">
                  <c:v>372.74</c:v>
                </c:pt>
                <c:pt idx="209">
                  <c:v>371.04</c:v>
                </c:pt>
                <c:pt idx="210">
                  <c:v>365.97</c:v>
                </c:pt>
                <c:pt idx="211">
                  <c:v>356.77</c:v>
                </c:pt>
                <c:pt idx="212">
                  <c:v>358.96</c:v>
                </c:pt>
                <c:pt idx="213">
                  <c:v>370.17</c:v>
                </c:pt>
                <c:pt idx="214">
                  <c:v>369.37</c:v>
                </c:pt>
                <c:pt idx="215">
                  <c:v>373.46</c:v>
                </c:pt>
                <c:pt idx="216">
                  <c:v>372.88</c:v>
                </c:pt>
                <c:pt idx="217">
                  <c:v>372.29</c:v>
                </c:pt>
                <c:pt idx="218">
                  <c:v>374.33</c:v>
                </c:pt>
                <c:pt idx="219">
                  <c:v>373.07</c:v>
                </c:pt>
                <c:pt idx="220">
                  <c:v>370.87</c:v>
                </c:pt>
                <c:pt idx="221">
                  <c:v>384.37</c:v>
                </c:pt>
                <c:pt idx="222">
                  <c:v>393.11</c:v>
                </c:pt>
                <c:pt idx="223">
                  <c:v>411.22</c:v>
                </c:pt>
                <c:pt idx="224">
                  <c:v>420.26</c:v>
                </c:pt>
                <c:pt idx="225">
                  <c:v>422.79</c:v>
                </c:pt>
                <c:pt idx="226">
                  <c:v>418.07</c:v>
                </c:pt>
                <c:pt idx="227">
                  <c:v>424.16</c:v>
                </c:pt>
                <c:pt idx="228">
                  <c:v>432.92</c:v>
                </c:pt>
                <c:pt idx="229">
                  <c:v>415.75</c:v>
                </c:pt>
                <c:pt idx="230">
                  <c:v>424.62</c:v>
                </c:pt>
                <c:pt idx="231">
                  <c:v>424.82</c:v>
                </c:pt>
                <c:pt idx="232">
                  <c:v>429.25</c:v>
                </c:pt>
                <c:pt idx="233">
                  <c:v>424.46</c:v>
                </c:pt>
                <c:pt idx="234">
                  <c:v>407.78</c:v>
                </c:pt>
                <c:pt idx="235">
                  <c:v>414.44</c:v>
                </c:pt>
                <c:pt idx="236">
                  <c:v>413.62</c:v>
                </c:pt>
                <c:pt idx="237">
                  <c:v>411.38</c:v>
                </c:pt>
                <c:pt idx="238">
                  <c:v>413.96</c:v>
                </c:pt>
                <c:pt idx="239">
                  <c:v>420.77</c:v>
                </c:pt>
                <c:pt idx="240">
                  <c:v>415.12</c:v>
                </c:pt>
                <c:pt idx="241">
                  <c:v>412.66</c:v>
                </c:pt>
                <c:pt idx="242">
                  <c:v>407.77</c:v>
                </c:pt>
                <c:pt idx="243">
                  <c:v>405.21</c:v>
                </c:pt>
                <c:pt idx="244">
                  <c:v>409.43</c:v>
                </c:pt>
                <c:pt idx="245">
                  <c:v>421.92</c:v>
                </c:pt>
                <c:pt idx="246">
                  <c:v>423.54</c:v>
                </c:pt>
                <c:pt idx="247">
                  <c:v>417.42</c:v>
                </c:pt>
                <c:pt idx="248">
                  <c:v>421.06</c:v>
                </c:pt>
                <c:pt idx="249">
                  <c:v>419.09</c:v>
                </c:pt>
                <c:pt idx="250">
                  <c:v>418.57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F-4A51-B072-26BE87392733}"/>
            </c:ext>
          </c:extLst>
        </c:ser>
        <c:ser>
          <c:idx val="1"/>
          <c:order val="1"/>
          <c:tx>
            <c:v>NVDA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'analysis sheet'!$B$15:$B$265</c:f>
              <c:numCache>
                <c:formatCode>m/d/yyyy</c:formatCode>
                <c:ptCount val="251"/>
                <c:pt idx="0">
                  <c:v>45800</c:v>
                </c:pt>
                <c:pt idx="1">
                  <c:v>45804</c:v>
                </c:pt>
                <c:pt idx="2">
                  <c:v>45805</c:v>
                </c:pt>
                <c:pt idx="3">
                  <c:v>45806</c:v>
                </c:pt>
                <c:pt idx="4">
                  <c:v>45807</c:v>
                </c:pt>
                <c:pt idx="5">
                  <c:v>45810</c:v>
                </c:pt>
                <c:pt idx="6">
                  <c:v>45811</c:v>
                </c:pt>
                <c:pt idx="7">
                  <c:v>45812</c:v>
                </c:pt>
                <c:pt idx="8">
                  <c:v>45813</c:v>
                </c:pt>
                <c:pt idx="9">
                  <c:v>45814</c:v>
                </c:pt>
                <c:pt idx="10">
                  <c:v>45817</c:v>
                </c:pt>
                <c:pt idx="11">
                  <c:v>45818</c:v>
                </c:pt>
                <c:pt idx="12">
                  <c:v>45819</c:v>
                </c:pt>
                <c:pt idx="13">
                  <c:v>45820</c:v>
                </c:pt>
                <c:pt idx="14">
                  <c:v>45821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45828</c:v>
                </c:pt>
                <c:pt idx="19">
                  <c:v>45831</c:v>
                </c:pt>
                <c:pt idx="20">
                  <c:v>45832</c:v>
                </c:pt>
                <c:pt idx="21">
                  <c:v>45833</c:v>
                </c:pt>
                <c:pt idx="22">
                  <c:v>45834</c:v>
                </c:pt>
                <c:pt idx="23">
                  <c:v>45835</c:v>
                </c:pt>
                <c:pt idx="24">
                  <c:v>45838</c:v>
                </c:pt>
                <c:pt idx="25">
                  <c:v>45839</c:v>
                </c:pt>
                <c:pt idx="26">
                  <c:v>45840</c:v>
                </c:pt>
                <c:pt idx="27">
                  <c:v>45841</c:v>
                </c:pt>
                <c:pt idx="28">
                  <c:v>45845</c:v>
                </c:pt>
                <c:pt idx="29">
                  <c:v>45846</c:v>
                </c:pt>
                <c:pt idx="30">
                  <c:v>45847</c:v>
                </c:pt>
                <c:pt idx="31">
                  <c:v>45848</c:v>
                </c:pt>
                <c:pt idx="32">
                  <c:v>45849</c:v>
                </c:pt>
                <c:pt idx="33">
                  <c:v>45852</c:v>
                </c:pt>
                <c:pt idx="34">
                  <c:v>45853</c:v>
                </c:pt>
                <c:pt idx="35">
                  <c:v>45854</c:v>
                </c:pt>
                <c:pt idx="36">
                  <c:v>45855</c:v>
                </c:pt>
                <c:pt idx="37">
                  <c:v>45856</c:v>
                </c:pt>
                <c:pt idx="38">
                  <c:v>45859</c:v>
                </c:pt>
                <c:pt idx="39">
                  <c:v>45860</c:v>
                </c:pt>
                <c:pt idx="40">
                  <c:v>45861</c:v>
                </c:pt>
                <c:pt idx="41">
                  <c:v>45862</c:v>
                </c:pt>
                <c:pt idx="42">
                  <c:v>45863</c:v>
                </c:pt>
                <c:pt idx="43">
                  <c:v>45866</c:v>
                </c:pt>
                <c:pt idx="44">
                  <c:v>45867</c:v>
                </c:pt>
                <c:pt idx="45">
                  <c:v>45868</c:v>
                </c:pt>
                <c:pt idx="46">
                  <c:v>45869</c:v>
                </c:pt>
                <c:pt idx="47">
                  <c:v>45870</c:v>
                </c:pt>
                <c:pt idx="48">
                  <c:v>45873</c:v>
                </c:pt>
                <c:pt idx="49">
                  <c:v>45874</c:v>
                </c:pt>
                <c:pt idx="50">
                  <c:v>45875</c:v>
                </c:pt>
                <c:pt idx="51">
                  <c:v>45876</c:v>
                </c:pt>
                <c:pt idx="52">
                  <c:v>45877</c:v>
                </c:pt>
                <c:pt idx="53">
                  <c:v>45880</c:v>
                </c:pt>
                <c:pt idx="54">
                  <c:v>45881</c:v>
                </c:pt>
                <c:pt idx="55">
                  <c:v>45882</c:v>
                </c:pt>
                <c:pt idx="56">
                  <c:v>45883</c:v>
                </c:pt>
                <c:pt idx="57">
                  <c:v>45884</c:v>
                </c:pt>
                <c:pt idx="58">
                  <c:v>45887</c:v>
                </c:pt>
                <c:pt idx="59">
                  <c:v>45888</c:v>
                </c:pt>
                <c:pt idx="60">
                  <c:v>45889</c:v>
                </c:pt>
                <c:pt idx="61">
                  <c:v>45890</c:v>
                </c:pt>
                <c:pt idx="62">
                  <c:v>45891</c:v>
                </c:pt>
                <c:pt idx="63">
                  <c:v>45894</c:v>
                </c:pt>
                <c:pt idx="64">
                  <c:v>45895</c:v>
                </c:pt>
                <c:pt idx="65">
                  <c:v>45896</c:v>
                </c:pt>
                <c:pt idx="66">
                  <c:v>45897</c:v>
                </c:pt>
                <c:pt idx="67">
                  <c:v>45898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45989</c:v>
                </c:pt>
                <c:pt idx="131">
                  <c:v>45992</c:v>
                </c:pt>
                <c:pt idx="132">
                  <c:v>45993</c:v>
                </c:pt>
                <c:pt idx="133">
                  <c:v>45994</c:v>
                </c:pt>
                <c:pt idx="134">
                  <c:v>45995</c:v>
                </c:pt>
                <c:pt idx="135">
                  <c:v>45996</c:v>
                </c:pt>
                <c:pt idx="136">
                  <c:v>45999</c:v>
                </c:pt>
                <c:pt idx="137">
                  <c:v>46000</c:v>
                </c:pt>
                <c:pt idx="138">
                  <c:v>46001</c:v>
                </c:pt>
                <c:pt idx="139">
                  <c:v>46002</c:v>
                </c:pt>
                <c:pt idx="140">
                  <c:v>46003</c:v>
                </c:pt>
                <c:pt idx="141">
                  <c:v>46006</c:v>
                </c:pt>
                <c:pt idx="142">
                  <c:v>46007</c:v>
                </c:pt>
                <c:pt idx="143">
                  <c:v>46008</c:v>
                </c:pt>
                <c:pt idx="144">
                  <c:v>46009</c:v>
                </c:pt>
                <c:pt idx="145">
                  <c:v>46010</c:v>
                </c:pt>
                <c:pt idx="146">
                  <c:v>46013</c:v>
                </c:pt>
                <c:pt idx="147">
                  <c:v>46014</c:v>
                </c:pt>
                <c:pt idx="148">
                  <c:v>46015</c:v>
                </c:pt>
                <c:pt idx="149">
                  <c:v>46017</c:v>
                </c:pt>
                <c:pt idx="150">
                  <c:v>46020</c:v>
                </c:pt>
                <c:pt idx="151">
                  <c:v>46021</c:v>
                </c:pt>
                <c:pt idx="152">
                  <c:v>46022</c:v>
                </c:pt>
                <c:pt idx="153">
                  <c:v>46024</c:v>
                </c:pt>
                <c:pt idx="154">
                  <c:v>46027</c:v>
                </c:pt>
                <c:pt idx="155">
                  <c:v>46028</c:v>
                </c:pt>
                <c:pt idx="156">
                  <c:v>46029</c:v>
                </c:pt>
                <c:pt idx="157">
                  <c:v>46030</c:v>
                </c:pt>
                <c:pt idx="158">
                  <c:v>46031</c:v>
                </c:pt>
                <c:pt idx="159">
                  <c:v>46034</c:v>
                </c:pt>
                <c:pt idx="160">
                  <c:v>46035</c:v>
                </c:pt>
                <c:pt idx="161">
                  <c:v>46036</c:v>
                </c:pt>
                <c:pt idx="162">
                  <c:v>46037</c:v>
                </c:pt>
                <c:pt idx="163">
                  <c:v>46038</c:v>
                </c:pt>
                <c:pt idx="164">
                  <c:v>46042</c:v>
                </c:pt>
                <c:pt idx="165">
                  <c:v>46043</c:v>
                </c:pt>
                <c:pt idx="166">
                  <c:v>46044</c:v>
                </c:pt>
                <c:pt idx="167">
                  <c:v>46045</c:v>
                </c:pt>
                <c:pt idx="168">
                  <c:v>46048</c:v>
                </c:pt>
                <c:pt idx="169">
                  <c:v>46049</c:v>
                </c:pt>
                <c:pt idx="170">
                  <c:v>46050</c:v>
                </c:pt>
                <c:pt idx="171">
                  <c:v>46051</c:v>
                </c:pt>
                <c:pt idx="172">
                  <c:v>46052</c:v>
                </c:pt>
                <c:pt idx="173">
                  <c:v>46055</c:v>
                </c:pt>
                <c:pt idx="174">
                  <c:v>46056</c:v>
                </c:pt>
                <c:pt idx="175">
                  <c:v>46057</c:v>
                </c:pt>
                <c:pt idx="176">
                  <c:v>46058</c:v>
                </c:pt>
                <c:pt idx="177">
                  <c:v>46059</c:v>
                </c:pt>
                <c:pt idx="178">
                  <c:v>46062</c:v>
                </c:pt>
                <c:pt idx="179">
                  <c:v>46063</c:v>
                </c:pt>
                <c:pt idx="180">
                  <c:v>46064</c:v>
                </c:pt>
                <c:pt idx="181">
                  <c:v>46065</c:v>
                </c:pt>
                <c:pt idx="182">
                  <c:v>46066</c:v>
                </c:pt>
                <c:pt idx="183">
                  <c:v>46070</c:v>
                </c:pt>
                <c:pt idx="184">
                  <c:v>46071</c:v>
                </c:pt>
                <c:pt idx="185">
                  <c:v>46072</c:v>
                </c:pt>
                <c:pt idx="186">
                  <c:v>46073</c:v>
                </c:pt>
                <c:pt idx="187">
                  <c:v>46076</c:v>
                </c:pt>
                <c:pt idx="188">
                  <c:v>46077</c:v>
                </c:pt>
                <c:pt idx="189">
                  <c:v>46078</c:v>
                </c:pt>
                <c:pt idx="190">
                  <c:v>46079</c:v>
                </c:pt>
                <c:pt idx="191">
                  <c:v>46080</c:v>
                </c:pt>
                <c:pt idx="192">
                  <c:v>46083</c:v>
                </c:pt>
                <c:pt idx="193">
                  <c:v>46084</c:v>
                </c:pt>
                <c:pt idx="194">
                  <c:v>46085</c:v>
                </c:pt>
                <c:pt idx="195">
                  <c:v>46086</c:v>
                </c:pt>
                <c:pt idx="196">
                  <c:v>46087</c:v>
                </c:pt>
                <c:pt idx="197">
                  <c:v>46090</c:v>
                </c:pt>
                <c:pt idx="198">
                  <c:v>46091</c:v>
                </c:pt>
                <c:pt idx="199">
                  <c:v>46092</c:v>
                </c:pt>
                <c:pt idx="200">
                  <c:v>46093</c:v>
                </c:pt>
                <c:pt idx="201">
                  <c:v>46094</c:v>
                </c:pt>
                <c:pt idx="202">
                  <c:v>46097</c:v>
                </c:pt>
                <c:pt idx="203">
                  <c:v>46098</c:v>
                </c:pt>
                <c:pt idx="204">
                  <c:v>46099</c:v>
                </c:pt>
                <c:pt idx="205">
                  <c:v>46100</c:v>
                </c:pt>
                <c:pt idx="206">
                  <c:v>46101</c:v>
                </c:pt>
                <c:pt idx="207">
                  <c:v>46104</c:v>
                </c:pt>
                <c:pt idx="208">
                  <c:v>46105</c:v>
                </c:pt>
                <c:pt idx="209">
                  <c:v>46106</c:v>
                </c:pt>
                <c:pt idx="210">
                  <c:v>46107</c:v>
                </c:pt>
                <c:pt idx="211">
                  <c:v>46108</c:v>
                </c:pt>
                <c:pt idx="212">
                  <c:v>46111</c:v>
                </c:pt>
                <c:pt idx="213">
                  <c:v>46112</c:v>
                </c:pt>
                <c:pt idx="214">
                  <c:v>46113</c:v>
                </c:pt>
                <c:pt idx="215">
                  <c:v>46114</c:v>
                </c:pt>
                <c:pt idx="216">
                  <c:v>46118</c:v>
                </c:pt>
                <c:pt idx="217">
                  <c:v>46119</c:v>
                </c:pt>
                <c:pt idx="218">
                  <c:v>46120</c:v>
                </c:pt>
                <c:pt idx="219">
                  <c:v>46121</c:v>
                </c:pt>
                <c:pt idx="220">
                  <c:v>46122</c:v>
                </c:pt>
                <c:pt idx="221">
                  <c:v>46125</c:v>
                </c:pt>
                <c:pt idx="222">
                  <c:v>46126</c:v>
                </c:pt>
                <c:pt idx="223">
                  <c:v>46127</c:v>
                </c:pt>
                <c:pt idx="224">
                  <c:v>46128</c:v>
                </c:pt>
                <c:pt idx="225">
                  <c:v>46129</c:v>
                </c:pt>
                <c:pt idx="226">
                  <c:v>46132</c:v>
                </c:pt>
                <c:pt idx="227">
                  <c:v>46133</c:v>
                </c:pt>
                <c:pt idx="228">
                  <c:v>46134</c:v>
                </c:pt>
                <c:pt idx="229">
                  <c:v>46135</c:v>
                </c:pt>
                <c:pt idx="230">
                  <c:v>46136</c:v>
                </c:pt>
                <c:pt idx="231">
                  <c:v>46139</c:v>
                </c:pt>
                <c:pt idx="232">
                  <c:v>46140</c:v>
                </c:pt>
                <c:pt idx="233">
                  <c:v>46141</c:v>
                </c:pt>
                <c:pt idx="234">
                  <c:v>46142</c:v>
                </c:pt>
                <c:pt idx="235">
                  <c:v>46143</c:v>
                </c:pt>
                <c:pt idx="236">
                  <c:v>46146</c:v>
                </c:pt>
                <c:pt idx="237">
                  <c:v>46147</c:v>
                </c:pt>
                <c:pt idx="238">
                  <c:v>46148</c:v>
                </c:pt>
                <c:pt idx="239">
                  <c:v>46149</c:v>
                </c:pt>
                <c:pt idx="240">
                  <c:v>46150</c:v>
                </c:pt>
                <c:pt idx="241">
                  <c:v>46153</c:v>
                </c:pt>
                <c:pt idx="242">
                  <c:v>46154</c:v>
                </c:pt>
                <c:pt idx="243">
                  <c:v>46155</c:v>
                </c:pt>
                <c:pt idx="244">
                  <c:v>46156</c:v>
                </c:pt>
                <c:pt idx="245">
                  <c:v>46157</c:v>
                </c:pt>
                <c:pt idx="246">
                  <c:v>46160</c:v>
                </c:pt>
                <c:pt idx="247">
                  <c:v>46161</c:v>
                </c:pt>
                <c:pt idx="248">
                  <c:v>46162</c:v>
                </c:pt>
                <c:pt idx="249">
                  <c:v>46163</c:v>
                </c:pt>
                <c:pt idx="250">
                  <c:v>46164</c:v>
                </c:pt>
              </c:numCache>
            </c:numRef>
          </c:cat>
          <c:val>
            <c:numRef>
              <c:f>'analysis sheet'!$D$15:$D$265</c:f>
              <c:numCache>
                <c:formatCode>[$$-409]#,##0.00</c:formatCode>
                <c:ptCount val="251"/>
                <c:pt idx="0">
                  <c:v>131.29</c:v>
                </c:pt>
                <c:pt idx="1">
                  <c:v>135.5</c:v>
                </c:pt>
                <c:pt idx="2">
                  <c:v>134.81</c:v>
                </c:pt>
                <c:pt idx="3">
                  <c:v>139.19</c:v>
                </c:pt>
                <c:pt idx="4">
                  <c:v>135.13</c:v>
                </c:pt>
                <c:pt idx="5">
                  <c:v>137.38</c:v>
                </c:pt>
                <c:pt idx="6">
                  <c:v>141.22</c:v>
                </c:pt>
                <c:pt idx="7">
                  <c:v>141.91999999999999</c:v>
                </c:pt>
                <c:pt idx="8">
                  <c:v>139.99</c:v>
                </c:pt>
                <c:pt idx="9">
                  <c:v>141.72</c:v>
                </c:pt>
                <c:pt idx="10">
                  <c:v>142.63</c:v>
                </c:pt>
                <c:pt idx="11">
                  <c:v>143.96</c:v>
                </c:pt>
                <c:pt idx="12">
                  <c:v>142.83000000000001</c:v>
                </c:pt>
                <c:pt idx="13">
                  <c:v>145</c:v>
                </c:pt>
                <c:pt idx="14">
                  <c:v>141.97</c:v>
                </c:pt>
                <c:pt idx="15">
                  <c:v>144.69</c:v>
                </c:pt>
                <c:pt idx="16">
                  <c:v>144.12</c:v>
                </c:pt>
                <c:pt idx="17">
                  <c:v>145.47999999999999</c:v>
                </c:pt>
                <c:pt idx="18">
                  <c:v>143.85</c:v>
                </c:pt>
                <c:pt idx="19">
                  <c:v>144.16999999999999</c:v>
                </c:pt>
                <c:pt idx="20">
                  <c:v>147.9</c:v>
                </c:pt>
                <c:pt idx="21">
                  <c:v>154.31</c:v>
                </c:pt>
                <c:pt idx="22">
                  <c:v>155.02000000000001</c:v>
                </c:pt>
                <c:pt idx="23">
                  <c:v>157.75</c:v>
                </c:pt>
                <c:pt idx="24">
                  <c:v>157.99</c:v>
                </c:pt>
                <c:pt idx="25">
                  <c:v>153.30000000000001</c:v>
                </c:pt>
                <c:pt idx="26">
                  <c:v>157.25</c:v>
                </c:pt>
                <c:pt idx="27">
                  <c:v>159.34</c:v>
                </c:pt>
                <c:pt idx="28">
                  <c:v>158.24</c:v>
                </c:pt>
                <c:pt idx="29">
                  <c:v>160</c:v>
                </c:pt>
                <c:pt idx="30">
                  <c:v>162.88</c:v>
                </c:pt>
                <c:pt idx="31">
                  <c:v>164.1</c:v>
                </c:pt>
                <c:pt idx="32">
                  <c:v>164.92</c:v>
                </c:pt>
                <c:pt idx="33">
                  <c:v>164.07</c:v>
                </c:pt>
                <c:pt idx="34">
                  <c:v>170.7</c:v>
                </c:pt>
                <c:pt idx="35">
                  <c:v>171.37</c:v>
                </c:pt>
                <c:pt idx="36">
                  <c:v>173</c:v>
                </c:pt>
                <c:pt idx="37">
                  <c:v>172.41</c:v>
                </c:pt>
                <c:pt idx="38">
                  <c:v>171.38</c:v>
                </c:pt>
                <c:pt idx="39">
                  <c:v>167.03</c:v>
                </c:pt>
                <c:pt idx="40">
                  <c:v>170.78</c:v>
                </c:pt>
                <c:pt idx="41">
                  <c:v>173.74</c:v>
                </c:pt>
                <c:pt idx="42">
                  <c:v>173.5</c:v>
                </c:pt>
                <c:pt idx="43">
                  <c:v>176.75</c:v>
                </c:pt>
                <c:pt idx="44">
                  <c:v>175.51</c:v>
                </c:pt>
                <c:pt idx="45">
                  <c:v>179.27</c:v>
                </c:pt>
                <c:pt idx="46">
                  <c:v>177.87</c:v>
                </c:pt>
                <c:pt idx="47">
                  <c:v>173.72</c:v>
                </c:pt>
                <c:pt idx="48">
                  <c:v>180</c:v>
                </c:pt>
                <c:pt idx="49">
                  <c:v>178.26</c:v>
                </c:pt>
                <c:pt idx="50">
                  <c:v>179.42</c:v>
                </c:pt>
                <c:pt idx="51">
                  <c:v>180.77</c:v>
                </c:pt>
                <c:pt idx="52">
                  <c:v>182.7</c:v>
                </c:pt>
                <c:pt idx="53">
                  <c:v>182.06</c:v>
                </c:pt>
                <c:pt idx="54">
                  <c:v>183.16</c:v>
                </c:pt>
                <c:pt idx="55">
                  <c:v>181.59</c:v>
                </c:pt>
                <c:pt idx="56">
                  <c:v>182.02</c:v>
                </c:pt>
                <c:pt idx="57">
                  <c:v>180.45</c:v>
                </c:pt>
                <c:pt idx="58">
                  <c:v>182.01</c:v>
                </c:pt>
                <c:pt idx="59">
                  <c:v>175.64</c:v>
                </c:pt>
                <c:pt idx="60">
                  <c:v>175.4</c:v>
                </c:pt>
                <c:pt idx="61">
                  <c:v>174.98</c:v>
                </c:pt>
                <c:pt idx="62">
                  <c:v>177.99</c:v>
                </c:pt>
                <c:pt idx="63">
                  <c:v>179.81</c:v>
                </c:pt>
                <c:pt idx="64">
                  <c:v>181.77</c:v>
                </c:pt>
                <c:pt idx="65">
                  <c:v>181.6</c:v>
                </c:pt>
                <c:pt idx="66">
                  <c:v>180.17</c:v>
                </c:pt>
                <c:pt idx="67">
                  <c:v>174.18</c:v>
                </c:pt>
                <c:pt idx="68">
                  <c:v>170.78</c:v>
                </c:pt>
                <c:pt idx="69">
                  <c:v>170.62</c:v>
                </c:pt>
                <c:pt idx="70">
                  <c:v>171.66</c:v>
                </c:pt>
                <c:pt idx="71">
                  <c:v>167.02</c:v>
                </c:pt>
                <c:pt idx="72">
                  <c:v>168.31</c:v>
                </c:pt>
                <c:pt idx="73">
                  <c:v>170.76</c:v>
                </c:pt>
                <c:pt idx="74">
                  <c:v>177.33</c:v>
                </c:pt>
                <c:pt idx="75">
                  <c:v>177.17</c:v>
                </c:pt>
                <c:pt idx="76">
                  <c:v>177.82</c:v>
                </c:pt>
                <c:pt idx="77">
                  <c:v>177.75</c:v>
                </c:pt>
                <c:pt idx="78">
                  <c:v>174.88</c:v>
                </c:pt>
                <c:pt idx="79">
                  <c:v>170.29</c:v>
                </c:pt>
                <c:pt idx="80">
                  <c:v>176.24</c:v>
                </c:pt>
                <c:pt idx="81">
                  <c:v>176.67</c:v>
                </c:pt>
                <c:pt idx="82">
                  <c:v>183.61</c:v>
                </c:pt>
                <c:pt idx="83">
                  <c:v>178.43</c:v>
                </c:pt>
                <c:pt idx="84">
                  <c:v>176.97</c:v>
                </c:pt>
                <c:pt idx="85">
                  <c:v>177.69</c:v>
                </c:pt>
                <c:pt idx="86">
                  <c:v>178.19</c:v>
                </c:pt>
                <c:pt idx="87">
                  <c:v>181.85</c:v>
                </c:pt>
                <c:pt idx="88">
                  <c:v>186.58</c:v>
                </c:pt>
                <c:pt idx="89">
                  <c:v>187.24</c:v>
                </c:pt>
                <c:pt idx="90">
                  <c:v>188.89</c:v>
                </c:pt>
                <c:pt idx="91">
                  <c:v>187.62</c:v>
                </c:pt>
                <c:pt idx="92">
                  <c:v>185.54</c:v>
                </c:pt>
                <c:pt idx="93">
                  <c:v>185.04</c:v>
                </c:pt>
                <c:pt idx="94">
                  <c:v>189.11</c:v>
                </c:pt>
                <c:pt idx="95">
                  <c:v>192.57</c:v>
                </c:pt>
                <c:pt idx="96">
                  <c:v>183.16</c:v>
                </c:pt>
                <c:pt idx="97">
                  <c:v>188.32</c:v>
                </c:pt>
                <c:pt idx="98">
                  <c:v>180.03</c:v>
                </c:pt>
                <c:pt idx="99">
                  <c:v>179.83</c:v>
                </c:pt>
                <c:pt idx="100">
                  <c:v>181.81</c:v>
                </c:pt>
                <c:pt idx="101">
                  <c:v>183.22</c:v>
                </c:pt>
                <c:pt idx="102">
                  <c:v>182.64</c:v>
                </c:pt>
                <c:pt idx="103">
                  <c:v>181.16</c:v>
                </c:pt>
                <c:pt idx="104">
                  <c:v>180.28</c:v>
                </c:pt>
                <c:pt idx="105">
                  <c:v>182.16</c:v>
                </c:pt>
                <c:pt idx="106">
                  <c:v>186.26</c:v>
                </c:pt>
                <c:pt idx="107">
                  <c:v>191.49</c:v>
                </c:pt>
                <c:pt idx="108">
                  <c:v>201.03</c:v>
                </c:pt>
                <c:pt idx="109">
                  <c:v>207.04</c:v>
                </c:pt>
                <c:pt idx="110">
                  <c:v>202.89</c:v>
                </c:pt>
                <c:pt idx="111">
                  <c:v>202.49</c:v>
                </c:pt>
                <c:pt idx="112">
                  <c:v>206.88</c:v>
                </c:pt>
                <c:pt idx="113">
                  <c:v>198.69</c:v>
                </c:pt>
                <c:pt idx="114">
                  <c:v>195.21</c:v>
                </c:pt>
                <c:pt idx="115">
                  <c:v>188.08</c:v>
                </c:pt>
                <c:pt idx="116">
                  <c:v>188.15</c:v>
                </c:pt>
                <c:pt idx="117">
                  <c:v>199.05</c:v>
                </c:pt>
                <c:pt idx="118">
                  <c:v>193.16</c:v>
                </c:pt>
                <c:pt idx="119">
                  <c:v>193.8</c:v>
                </c:pt>
                <c:pt idx="120">
                  <c:v>186.86</c:v>
                </c:pt>
                <c:pt idx="121">
                  <c:v>190.17</c:v>
                </c:pt>
                <c:pt idx="122">
                  <c:v>186.6</c:v>
                </c:pt>
                <c:pt idx="123">
                  <c:v>181.36</c:v>
                </c:pt>
                <c:pt idx="124">
                  <c:v>186.52</c:v>
                </c:pt>
                <c:pt idx="125">
                  <c:v>180.64</c:v>
                </c:pt>
                <c:pt idx="126">
                  <c:v>178.88</c:v>
                </c:pt>
                <c:pt idx="127">
                  <c:v>182.55</c:v>
                </c:pt>
                <c:pt idx="128">
                  <c:v>177.82</c:v>
                </c:pt>
                <c:pt idx="129">
                  <c:v>180.26</c:v>
                </c:pt>
                <c:pt idx="130">
                  <c:v>177</c:v>
                </c:pt>
                <c:pt idx="131">
                  <c:v>179.92</c:v>
                </c:pt>
                <c:pt idx="132">
                  <c:v>181.46</c:v>
                </c:pt>
                <c:pt idx="133">
                  <c:v>179.59</c:v>
                </c:pt>
                <c:pt idx="134">
                  <c:v>183.38</c:v>
                </c:pt>
                <c:pt idx="135">
                  <c:v>182.41</c:v>
                </c:pt>
                <c:pt idx="136">
                  <c:v>185.55</c:v>
                </c:pt>
                <c:pt idx="137">
                  <c:v>184.97</c:v>
                </c:pt>
                <c:pt idx="138">
                  <c:v>183.78</c:v>
                </c:pt>
                <c:pt idx="139">
                  <c:v>180.93</c:v>
                </c:pt>
                <c:pt idx="140">
                  <c:v>175.02</c:v>
                </c:pt>
                <c:pt idx="141">
                  <c:v>176.29</c:v>
                </c:pt>
                <c:pt idx="142">
                  <c:v>177.72</c:v>
                </c:pt>
                <c:pt idx="143">
                  <c:v>170.94</c:v>
                </c:pt>
                <c:pt idx="144">
                  <c:v>174.14</c:v>
                </c:pt>
                <c:pt idx="145">
                  <c:v>180.99</c:v>
                </c:pt>
                <c:pt idx="146">
                  <c:v>183.69</c:v>
                </c:pt>
                <c:pt idx="147">
                  <c:v>189.21</c:v>
                </c:pt>
                <c:pt idx="148">
                  <c:v>188.61</c:v>
                </c:pt>
                <c:pt idx="149">
                  <c:v>190.53</c:v>
                </c:pt>
                <c:pt idx="150">
                  <c:v>188.22</c:v>
                </c:pt>
                <c:pt idx="151">
                  <c:v>187.54</c:v>
                </c:pt>
                <c:pt idx="152">
                  <c:v>186.5</c:v>
                </c:pt>
                <c:pt idx="153">
                  <c:v>188.85</c:v>
                </c:pt>
                <c:pt idx="154">
                  <c:v>188.12</c:v>
                </c:pt>
                <c:pt idx="155">
                  <c:v>187.24</c:v>
                </c:pt>
                <c:pt idx="156">
                  <c:v>189.11</c:v>
                </c:pt>
                <c:pt idx="157">
                  <c:v>185.04</c:v>
                </c:pt>
                <c:pt idx="158">
                  <c:v>184.86</c:v>
                </c:pt>
                <c:pt idx="159">
                  <c:v>184.94</c:v>
                </c:pt>
                <c:pt idx="160">
                  <c:v>185.81</c:v>
                </c:pt>
                <c:pt idx="161">
                  <c:v>183.14</c:v>
                </c:pt>
                <c:pt idx="162">
                  <c:v>187.05</c:v>
                </c:pt>
                <c:pt idx="163">
                  <c:v>186.23</c:v>
                </c:pt>
                <c:pt idx="164">
                  <c:v>178.07</c:v>
                </c:pt>
                <c:pt idx="165">
                  <c:v>183.32</c:v>
                </c:pt>
                <c:pt idx="166">
                  <c:v>184.84</c:v>
                </c:pt>
                <c:pt idx="167">
                  <c:v>187.67</c:v>
                </c:pt>
                <c:pt idx="168">
                  <c:v>186.47</c:v>
                </c:pt>
                <c:pt idx="169">
                  <c:v>188.52</c:v>
                </c:pt>
                <c:pt idx="170">
                  <c:v>191.52</c:v>
                </c:pt>
                <c:pt idx="171">
                  <c:v>192.51</c:v>
                </c:pt>
                <c:pt idx="172">
                  <c:v>191.13</c:v>
                </c:pt>
                <c:pt idx="173">
                  <c:v>185.61</c:v>
                </c:pt>
                <c:pt idx="174">
                  <c:v>180.34</c:v>
                </c:pt>
                <c:pt idx="175">
                  <c:v>174.19</c:v>
                </c:pt>
                <c:pt idx="176">
                  <c:v>171.88</c:v>
                </c:pt>
                <c:pt idx="177">
                  <c:v>185.41</c:v>
                </c:pt>
                <c:pt idx="178">
                  <c:v>190.04</c:v>
                </c:pt>
                <c:pt idx="179">
                  <c:v>188.54</c:v>
                </c:pt>
                <c:pt idx="180">
                  <c:v>190.05</c:v>
                </c:pt>
                <c:pt idx="181">
                  <c:v>186.94</c:v>
                </c:pt>
                <c:pt idx="182">
                  <c:v>182.81</c:v>
                </c:pt>
                <c:pt idx="183">
                  <c:v>184.97</c:v>
                </c:pt>
                <c:pt idx="184">
                  <c:v>187.98</c:v>
                </c:pt>
                <c:pt idx="185">
                  <c:v>187.9</c:v>
                </c:pt>
                <c:pt idx="186">
                  <c:v>189.82</c:v>
                </c:pt>
                <c:pt idx="187">
                  <c:v>191.55</c:v>
                </c:pt>
                <c:pt idx="188">
                  <c:v>192.85</c:v>
                </c:pt>
                <c:pt idx="189">
                  <c:v>195.56</c:v>
                </c:pt>
                <c:pt idx="190">
                  <c:v>184.89</c:v>
                </c:pt>
                <c:pt idx="191">
                  <c:v>177.19</c:v>
                </c:pt>
                <c:pt idx="192">
                  <c:v>182.48</c:v>
                </c:pt>
                <c:pt idx="193">
                  <c:v>180.05</c:v>
                </c:pt>
                <c:pt idx="194">
                  <c:v>183.04</c:v>
                </c:pt>
                <c:pt idx="195">
                  <c:v>183.34</c:v>
                </c:pt>
                <c:pt idx="196">
                  <c:v>177.82</c:v>
                </c:pt>
                <c:pt idx="197">
                  <c:v>182.65</c:v>
                </c:pt>
                <c:pt idx="198">
                  <c:v>184.77</c:v>
                </c:pt>
                <c:pt idx="199">
                  <c:v>186.03</c:v>
                </c:pt>
                <c:pt idx="200">
                  <c:v>183.14</c:v>
                </c:pt>
                <c:pt idx="201">
                  <c:v>180.25</c:v>
                </c:pt>
                <c:pt idx="202">
                  <c:v>183.22</c:v>
                </c:pt>
                <c:pt idx="203">
                  <c:v>181.93</c:v>
                </c:pt>
                <c:pt idx="204">
                  <c:v>180.4</c:v>
                </c:pt>
                <c:pt idx="205">
                  <c:v>178.56</c:v>
                </c:pt>
                <c:pt idx="206">
                  <c:v>172.7</c:v>
                </c:pt>
                <c:pt idx="207">
                  <c:v>175.64</c:v>
                </c:pt>
                <c:pt idx="208">
                  <c:v>175.2</c:v>
                </c:pt>
                <c:pt idx="209">
                  <c:v>178.68</c:v>
                </c:pt>
                <c:pt idx="210">
                  <c:v>171.24</c:v>
                </c:pt>
                <c:pt idx="211">
                  <c:v>167.52</c:v>
                </c:pt>
                <c:pt idx="212">
                  <c:v>165.17</c:v>
                </c:pt>
                <c:pt idx="213">
                  <c:v>174.4</c:v>
                </c:pt>
                <c:pt idx="214">
                  <c:v>175.75</c:v>
                </c:pt>
                <c:pt idx="215">
                  <c:v>177.39</c:v>
                </c:pt>
                <c:pt idx="216">
                  <c:v>177.64</c:v>
                </c:pt>
                <c:pt idx="217">
                  <c:v>178.1</c:v>
                </c:pt>
                <c:pt idx="218">
                  <c:v>182.08</c:v>
                </c:pt>
                <c:pt idx="219">
                  <c:v>183.91</c:v>
                </c:pt>
                <c:pt idx="220">
                  <c:v>188.63</c:v>
                </c:pt>
                <c:pt idx="221">
                  <c:v>189.31</c:v>
                </c:pt>
                <c:pt idx="222">
                  <c:v>196.51</c:v>
                </c:pt>
                <c:pt idx="223">
                  <c:v>198.87</c:v>
                </c:pt>
                <c:pt idx="224">
                  <c:v>198.35</c:v>
                </c:pt>
                <c:pt idx="225">
                  <c:v>201.68</c:v>
                </c:pt>
                <c:pt idx="226">
                  <c:v>202.06</c:v>
                </c:pt>
                <c:pt idx="227">
                  <c:v>199.88</c:v>
                </c:pt>
                <c:pt idx="228">
                  <c:v>202.5</c:v>
                </c:pt>
                <c:pt idx="229">
                  <c:v>199.64</c:v>
                </c:pt>
                <c:pt idx="230">
                  <c:v>208.27</c:v>
                </c:pt>
                <c:pt idx="231">
                  <c:v>216.61</c:v>
                </c:pt>
                <c:pt idx="232">
                  <c:v>213.17</c:v>
                </c:pt>
                <c:pt idx="233">
                  <c:v>209.25</c:v>
                </c:pt>
                <c:pt idx="234">
                  <c:v>199.57</c:v>
                </c:pt>
                <c:pt idx="235">
                  <c:v>198.45</c:v>
                </c:pt>
                <c:pt idx="236">
                  <c:v>198.48</c:v>
                </c:pt>
                <c:pt idx="237">
                  <c:v>196.5</c:v>
                </c:pt>
                <c:pt idx="238">
                  <c:v>207.83</c:v>
                </c:pt>
                <c:pt idx="239">
                  <c:v>211.5</c:v>
                </c:pt>
                <c:pt idx="240">
                  <c:v>215.2</c:v>
                </c:pt>
                <c:pt idx="241">
                  <c:v>219.44</c:v>
                </c:pt>
                <c:pt idx="242">
                  <c:v>220.78</c:v>
                </c:pt>
                <c:pt idx="243">
                  <c:v>225.83</c:v>
                </c:pt>
                <c:pt idx="244">
                  <c:v>235.74</c:v>
                </c:pt>
                <c:pt idx="245">
                  <c:v>225.32</c:v>
                </c:pt>
                <c:pt idx="246">
                  <c:v>222.32</c:v>
                </c:pt>
                <c:pt idx="247">
                  <c:v>220.61</c:v>
                </c:pt>
                <c:pt idx="248">
                  <c:v>223.47</c:v>
                </c:pt>
                <c:pt idx="249">
                  <c:v>219.51</c:v>
                </c:pt>
                <c:pt idx="250">
                  <c:v>215.33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F-4A51-B072-26BE87392733}"/>
            </c:ext>
          </c:extLst>
        </c:ser>
        <c:ser>
          <c:idx val="2"/>
          <c:order val="2"/>
          <c:tx>
            <c:v>TSLA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'analysis sheet'!$B$15:$B$265</c:f>
              <c:numCache>
                <c:formatCode>m/d/yyyy</c:formatCode>
                <c:ptCount val="251"/>
                <c:pt idx="0">
                  <c:v>45800</c:v>
                </c:pt>
                <c:pt idx="1">
                  <c:v>45804</c:v>
                </c:pt>
                <c:pt idx="2">
                  <c:v>45805</c:v>
                </c:pt>
                <c:pt idx="3">
                  <c:v>45806</c:v>
                </c:pt>
                <c:pt idx="4">
                  <c:v>45807</c:v>
                </c:pt>
                <c:pt idx="5">
                  <c:v>45810</c:v>
                </c:pt>
                <c:pt idx="6">
                  <c:v>45811</c:v>
                </c:pt>
                <c:pt idx="7">
                  <c:v>45812</c:v>
                </c:pt>
                <c:pt idx="8">
                  <c:v>45813</c:v>
                </c:pt>
                <c:pt idx="9">
                  <c:v>45814</c:v>
                </c:pt>
                <c:pt idx="10">
                  <c:v>45817</c:v>
                </c:pt>
                <c:pt idx="11">
                  <c:v>45818</c:v>
                </c:pt>
                <c:pt idx="12">
                  <c:v>45819</c:v>
                </c:pt>
                <c:pt idx="13">
                  <c:v>45820</c:v>
                </c:pt>
                <c:pt idx="14">
                  <c:v>45821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45828</c:v>
                </c:pt>
                <c:pt idx="19">
                  <c:v>45831</c:v>
                </c:pt>
                <c:pt idx="20">
                  <c:v>45832</c:v>
                </c:pt>
                <c:pt idx="21">
                  <c:v>45833</c:v>
                </c:pt>
                <c:pt idx="22">
                  <c:v>45834</c:v>
                </c:pt>
                <c:pt idx="23">
                  <c:v>45835</c:v>
                </c:pt>
                <c:pt idx="24">
                  <c:v>45838</c:v>
                </c:pt>
                <c:pt idx="25">
                  <c:v>45839</c:v>
                </c:pt>
                <c:pt idx="26">
                  <c:v>45840</c:v>
                </c:pt>
                <c:pt idx="27">
                  <c:v>45841</c:v>
                </c:pt>
                <c:pt idx="28">
                  <c:v>45845</c:v>
                </c:pt>
                <c:pt idx="29">
                  <c:v>45846</c:v>
                </c:pt>
                <c:pt idx="30">
                  <c:v>45847</c:v>
                </c:pt>
                <c:pt idx="31">
                  <c:v>45848</c:v>
                </c:pt>
                <c:pt idx="32">
                  <c:v>45849</c:v>
                </c:pt>
                <c:pt idx="33">
                  <c:v>45852</c:v>
                </c:pt>
                <c:pt idx="34">
                  <c:v>45853</c:v>
                </c:pt>
                <c:pt idx="35">
                  <c:v>45854</c:v>
                </c:pt>
                <c:pt idx="36">
                  <c:v>45855</c:v>
                </c:pt>
                <c:pt idx="37">
                  <c:v>45856</c:v>
                </c:pt>
                <c:pt idx="38">
                  <c:v>45859</c:v>
                </c:pt>
                <c:pt idx="39">
                  <c:v>45860</c:v>
                </c:pt>
                <c:pt idx="40">
                  <c:v>45861</c:v>
                </c:pt>
                <c:pt idx="41">
                  <c:v>45862</c:v>
                </c:pt>
                <c:pt idx="42">
                  <c:v>45863</c:v>
                </c:pt>
                <c:pt idx="43">
                  <c:v>45866</c:v>
                </c:pt>
                <c:pt idx="44">
                  <c:v>45867</c:v>
                </c:pt>
                <c:pt idx="45">
                  <c:v>45868</c:v>
                </c:pt>
                <c:pt idx="46">
                  <c:v>45869</c:v>
                </c:pt>
                <c:pt idx="47">
                  <c:v>45870</c:v>
                </c:pt>
                <c:pt idx="48">
                  <c:v>45873</c:v>
                </c:pt>
                <c:pt idx="49">
                  <c:v>45874</c:v>
                </c:pt>
                <c:pt idx="50">
                  <c:v>45875</c:v>
                </c:pt>
                <c:pt idx="51">
                  <c:v>45876</c:v>
                </c:pt>
                <c:pt idx="52">
                  <c:v>45877</c:v>
                </c:pt>
                <c:pt idx="53">
                  <c:v>45880</c:v>
                </c:pt>
                <c:pt idx="54">
                  <c:v>45881</c:v>
                </c:pt>
                <c:pt idx="55">
                  <c:v>45882</c:v>
                </c:pt>
                <c:pt idx="56">
                  <c:v>45883</c:v>
                </c:pt>
                <c:pt idx="57">
                  <c:v>45884</c:v>
                </c:pt>
                <c:pt idx="58">
                  <c:v>45887</c:v>
                </c:pt>
                <c:pt idx="59">
                  <c:v>45888</c:v>
                </c:pt>
                <c:pt idx="60">
                  <c:v>45889</c:v>
                </c:pt>
                <c:pt idx="61">
                  <c:v>45890</c:v>
                </c:pt>
                <c:pt idx="62">
                  <c:v>45891</c:v>
                </c:pt>
                <c:pt idx="63">
                  <c:v>45894</c:v>
                </c:pt>
                <c:pt idx="64">
                  <c:v>45895</c:v>
                </c:pt>
                <c:pt idx="65">
                  <c:v>45896</c:v>
                </c:pt>
                <c:pt idx="66">
                  <c:v>45897</c:v>
                </c:pt>
                <c:pt idx="67">
                  <c:v>45898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45989</c:v>
                </c:pt>
                <c:pt idx="131">
                  <c:v>45992</c:v>
                </c:pt>
                <c:pt idx="132">
                  <c:v>45993</c:v>
                </c:pt>
                <c:pt idx="133">
                  <c:v>45994</c:v>
                </c:pt>
                <c:pt idx="134">
                  <c:v>45995</c:v>
                </c:pt>
                <c:pt idx="135">
                  <c:v>45996</c:v>
                </c:pt>
                <c:pt idx="136">
                  <c:v>45999</c:v>
                </c:pt>
                <c:pt idx="137">
                  <c:v>46000</c:v>
                </c:pt>
                <c:pt idx="138">
                  <c:v>46001</c:v>
                </c:pt>
                <c:pt idx="139">
                  <c:v>46002</c:v>
                </c:pt>
                <c:pt idx="140">
                  <c:v>46003</c:v>
                </c:pt>
                <c:pt idx="141">
                  <c:v>46006</c:v>
                </c:pt>
                <c:pt idx="142">
                  <c:v>46007</c:v>
                </c:pt>
                <c:pt idx="143">
                  <c:v>46008</c:v>
                </c:pt>
                <c:pt idx="144">
                  <c:v>46009</c:v>
                </c:pt>
                <c:pt idx="145">
                  <c:v>46010</c:v>
                </c:pt>
                <c:pt idx="146">
                  <c:v>46013</c:v>
                </c:pt>
                <c:pt idx="147">
                  <c:v>46014</c:v>
                </c:pt>
                <c:pt idx="148">
                  <c:v>46015</c:v>
                </c:pt>
                <c:pt idx="149">
                  <c:v>46017</c:v>
                </c:pt>
                <c:pt idx="150">
                  <c:v>46020</c:v>
                </c:pt>
                <c:pt idx="151">
                  <c:v>46021</c:v>
                </c:pt>
                <c:pt idx="152">
                  <c:v>46022</c:v>
                </c:pt>
                <c:pt idx="153">
                  <c:v>46024</c:v>
                </c:pt>
                <c:pt idx="154">
                  <c:v>46027</c:v>
                </c:pt>
                <c:pt idx="155">
                  <c:v>46028</c:v>
                </c:pt>
                <c:pt idx="156">
                  <c:v>46029</c:v>
                </c:pt>
                <c:pt idx="157">
                  <c:v>46030</c:v>
                </c:pt>
                <c:pt idx="158">
                  <c:v>46031</c:v>
                </c:pt>
                <c:pt idx="159">
                  <c:v>46034</c:v>
                </c:pt>
                <c:pt idx="160">
                  <c:v>46035</c:v>
                </c:pt>
                <c:pt idx="161">
                  <c:v>46036</c:v>
                </c:pt>
                <c:pt idx="162">
                  <c:v>46037</c:v>
                </c:pt>
                <c:pt idx="163">
                  <c:v>46038</c:v>
                </c:pt>
                <c:pt idx="164">
                  <c:v>46042</c:v>
                </c:pt>
                <c:pt idx="165">
                  <c:v>46043</c:v>
                </c:pt>
                <c:pt idx="166">
                  <c:v>46044</c:v>
                </c:pt>
                <c:pt idx="167">
                  <c:v>46045</c:v>
                </c:pt>
                <c:pt idx="168">
                  <c:v>46048</c:v>
                </c:pt>
                <c:pt idx="169">
                  <c:v>46049</c:v>
                </c:pt>
                <c:pt idx="170">
                  <c:v>46050</c:v>
                </c:pt>
                <c:pt idx="171">
                  <c:v>46051</c:v>
                </c:pt>
                <c:pt idx="172">
                  <c:v>46052</c:v>
                </c:pt>
                <c:pt idx="173">
                  <c:v>46055</c:v>
                </c:pt>
                <c:pt idx="174">
                  <c:v>46056</c:v>
                </c:pt>
                <c:pt idx="175">
                  <c:v>46057</c:v>
                </c:pt>
                <c:pt idx="176">
                  <c:v>46058</c:v>
                </c:pt>
                <c:pt idx="177">
                  <c:v>46059</c:v>
                </c:pt>
                <c:pt idx="178">
                  <c:v>46062</c:v>
                </c:pt>
                <c:pt idx="179">
                  <c:v>46063</c:v>
                </c:pt>
                <c:pt idx="180">
                  <c:v>46064</c:v>
                </c:pt>
                <c:pt idx="181">
                  <c:v>46065</c:v>
                </c:pt>
                <c:pt idx="182">
                  <c:v>46066</c:v>
                </c:pt>
                <c:pt idx="183">
                  <c:v>46070</c:v>
                </c:pt>
                <c:pt idx="184">
                  <c:v>46071</c:v>
                </c:pt>
                <c:pt idx="185">
                  <c:v>46072</c:v>
                </c:pt>
                <c:pt idx="186">
                  <c:v>46073</c:v>
                </c:pt>
                <c:pt idx="187">
                  <c:v>46076</c:v>
                </c:pt>
                <c:pt idx="188">
                  <c:v>46077</c:v>
                </c:pt>
                <c:pt idx="189">
                  <c:v>46078</c:v>
                </c:pt>
                <c:pt idx="190">
                  <c:v>46079</c:v>
                </c:pt>
                <c:pt idx="191">
                  <c:v>46080</c:v>
                </c:pt>
                <c:pt idx="192">
                  <c:v>46083</c:v>
                </c:pt>
                <c:pt idx="193">
                  <c:v>46084</c:v>
                </c:pt>
                <c:pt idx="194">
                  <c:v>46085</c:v>
                </c:pt>
                <c:pt idx="195">
                  <c:v>46086</c:v>
                </c:pt>
                <c:pt idx="196">
                  <c:v>46087</c:v>
                </c:pt>
                <c:pt idx="197">
                  <c:v>46090</c:v>
                </c:pt>
                <c:pt idx="198">
                  <c:v>46091</c:v>
                </c:pt>
                <c:pt idx="199">
                  <c:v>46092</c:v>
                </c:pt>
                <c:pt idx="200">
                  <c:v>46093</c:v>
                </c:pt>
                <c:pt idx="201">
                  <c:v>46094</c:v>
                </c:pt>
                <c:pt idx="202">
                  <c:v>46097</c:v>
                </c:pt>
                <c:pt idx="203">
                  <c:v>46098</c:v>
                </c:pt>
                <c:pt idx="204">
                  <c:v>46099</c:v>
                </c:pt>
                <c:pt idx="205">
                  <c:v>46100</c:v>
                </c:pt>
                <c:pt idx="206">
                  <c:v>46101</c:v>
                </c:pt>
                <c:pt idx="207">
                  <c:v>46104</c:v>
                </c:pt>
                <c:pt idx="208">
                  <c:v>46105</c:v>
                </c:pt>
                <c:pt idx="209">
                  <c:v>46106</c:v>
                </c:pt>
                <c:pt idx="210">
                  <c:v>46107</c:v>
                </c:pt>
                <c:pt idx="211">
                  <c:v>46108</c:v>
                </c:pt>
                <c:pt idx="212">
                  <c:v>46111</c:v>
                </c:pt>
                <c:pt idx="213">
                  <c:v>46112</c:v>
                </c:pt>
                <c:pt idx="214">
                  <c:v>46113</c:v>
                </c:pt>
                <c:pt idx="215">
                  <c:v>46114</c:v>
                </c:pt>
                <c:pt idx="216">
                  <c:v>46118</c:v>
                </c:pt>
                <c:pt idx="217">
                  <c:v>46119</c:v>
                </c:pt>
                <c:pt idx="218">
                  <c:v>46120</c:v>
                </c:pt>
                <c:pt idx="219">
                  <c:v>46121</c:v>
                </c:pt>
                <c:pt idx="220">
                  <c:v>46122</c:v>
                </c:pt>
                <c:pt idx="221">
                  <c:v>46125</c:v>
                </c:pt>
                <c:pt idx="222">
                  <c:v>46126</c:v>
                </c:pt>
                <c:pt idx="223">
                  <c:v>46127</c:v>
                </c:pt>
                <c:pt idx="224">
                  <c:v>46128</c:v>
                </c:pt>
                <c:pt idx="225">
                  <c:v>46129</c:v>
                </c:pt>
                <c:pt idx="226">
                  <c:v>46132</c:v>
                </c:pt>
                <c:pt idx="227">
                  <c:v>46133</c:v>
                </c:pt>
                <c:pt idx="228">
                  <c:v>46134</c:v>
                </c:pt>
                <c:pt idx="229">
                  <c:v>46135</c:v>
                </c:pt>
                <c:pt idx="230">
                  <c:v>46136</c:v>
                </c:pt>
                <c:pt idx="231">
                  <c:v>46139</c:v>
                </c:pt>
                <c:pt idx="232">
                  <c:v>46140</c:v>
                </c:pt>
                <c:pt idx="233">
                  <c:v>46141</c:v>
                </c:pt>
                <c:pt idx="234">
                  <c:v>46142</c:v>
                </c:pt>
                <c:pt idx="235">
                  <c:v>46143</c:v>
                </c:pt>
                <c:pt idx="236">
                  <c:v>46146</c:v>
                </c:pt>
                <c:pt idx="237">
                  <c:v>46147</c:v>
                </c:pt>
                <c:pt idx="238">
                  <c:v>46148</c:v>
                </c:pt>
                <c:pt idx="239">
                  <c:v>46149</c:v>
                </c:pt>
                <c:pt idx="240">
                  <c:v>46150</c:v>
                </c:pt>
                <c:pt idx="241">
                  <c:v>46153</c:v>
                </c:pt>
                <c:pt idx="242">
                  <c:v>46154</c:v>
                </c:pt>
                <c:pt idx="243">
                  <c:v>46155</c:v>
                </c:pt>
                <c:pt idx="244">
                  <c:v>46156</c:v>
                </c:pt>
                <c:pt idx="245">
                  <c:v>46157</c:v>
                </c:pt>
                <c:pt idx="246">
                  <c:v>46160</c:v>
                </c:pt>
                <c:pt idx="247">
                  <c:v>46161</c:v>
                </c:pt>
                <c:pt idx="248">
                  <c:v>46162</c:v>
                </c:pt>
                <c:pt idx="249">
                  <c:v>46163</c:v>
                </c:pt>
                <c:pt idx="250">
                  <c:v>46164</c:v>
                </c:pt>
              </c:numCache>
            </c:numRef>
          </c:cat>
          <c:val>
            <c:numRef>
              <c:f>'analysis sheet'!$E$15:$E$265</c:f>
              <c:numCache>
                <c:formatCode>[$$-409]#,##0.00</c:formatCode>
                <c:ptCount val="251"/>
                <c:pt idx="0">
                  <c:v>339.34</c:v>
                </c:pt>
                <c:pt idx="1">
                  <c:v>362.89</c:v>
                </c:pt>
                <c:pt idx="2">
                  <c:v>356.9</c:v>
                </c:pt>
                <c:pt idx="3">
                  <c:v>358.43</c:v>
                </c:pt>
                <c:pt idx="4">
                  <c:v>346.46</c:v>
                </c:pt>
                <c:pt idx="5">
                  <c:v>342.69</c:v>
                </c:pt>
                <c:pt idx="6">
                  <c:v>344.27</c:v>
                </c:pt>
                <c:pt idx="7">
                  <c:v>332.05</c:v>
                </c:pt>
                <c:pt idx="8">
                  <c:v>284.7</c:v>
                </c:pt>
                <c:pt idx="9">
                  <c:v>295.14</c:v>
                </c:pt>
                <c:pt idx="10">
                  <c:v>308.58</c:v>
                </c:pt>
                <c:pt idx="11">
                  <c:v>326.08999999999997</c:v>
                </c:pt>
                <c:pt idx="12">
                  <c:v>326.43</c:v>
                </c:pt>
                <c:pt idx="13">
                  <c:v>319.11</c:v>
                </c:pt>
                <c:pt idx="14">
                  <c:v>325.31</c:v>
                </c:pt>
                <c:pt idx="15">
                  <c:v>329.13</c:v>
                </c:pt>
                <c:pt idx="16">
                  <c:v>316.35000000000002</c:v>
                </c:pt>
                <c:pt idx="17">
                  <c:v>322.05</c:v>
                </c:pt>
                <c:pt idx="18">
                  <c:v>322.16000000000003</c:v>
                </c:pt>
                <c:pt idx="19">
                  <c:v>348.68</c:v>
                </c:pt>
                <c:pt idx="20">
                  <c:v>340.47</c:v>
                </c:pt>
                <c:pt idx="21">
                  <c:v>327.55</c:v>
                </c:pt>
                <c:pt idx="22">
                  <c:v>325.77999999999997</c:v>
                </c:pt>
                <c:pt idx="23">
                  <c:v>323.63</c:v>
                </c:pt>
                <c:pt idx="24">
                  <c:v>317.66000000000003</c:v>
                </c:pt>
                <c:pt idx="25">
                  <c:v>300.70999999999998</c:v>
                </c:pt>
                <c:pt idx="26">
                  <c:v>315.64999999999998</c:v>
                </c:pt>
                <c:pt idx="27">
                  <c:v>315.35000000000002</c:v>
                </c:pt>
                <c:pt idx="28">
                  <c:v>293.94</c:v>
                </c:pt>
                <c:pt idx="29">
                  <c:v>297.81</c:v>
                </c:pt>
                <c:pt idx="30">
                  <c:v>295.88</c:v>
                </c:pt>
                <c:pt idx="31">
                  <c:v>309.87</c:v>
                </c:pt>
                <c:pt idx="32">
                  <c:v>313.51</c:v>
                </c:pt>
                <c:pt idx="33">
                  <c:v>316.89999999999998</c:v>
                </c:pt>
                <c:pt idx="34">
                  <c:v>310.77999999999997</c:v>
                </c:pt>
                <c:pt idx="35">
                  <c:v>321.67</c:v>
                </c:pt>
                <c:pt idx="36">
                  <c:v>319.41000000000003</c:v>
                </c:pt>
                <c:pt idx="37">
                  <c:v>329.65</c:v>
                </c:pt>
                <c:pt idx="38">
                  <c:v>328.49</c:v>
                </c:pt>
                <c:pt idx="39">
                  <c:v>332.11</c:v>
                </c:pt>
                <c:pt idx="40">
                  <c:v>332.56</c:v>
                </c:pt>
                <c:pt idx="41">
                  <c:v>305.3</c:v>
                </c:pt>
                <c:pt idx="42">
                  <c:v>316.06</c:v>
                </c:pt>
                <c:pt idx="43">
                  <c:v>325.58999999999997</c:v>
                </c:pt>
                <c:pt idx="44">
                  <c:v>321.2</c:v>
                </c:pt>
                <c:pt idx="45">
                  <c:v>319.04000000000002</c:v>
                </c:pt>
                <c:pt idx="46">
                  <c:v>308.27</c:v>
                </c:pt>
                <c:pt idx="47">
                  <c:v>302.63</c:v>
                </c:pt>
                <c:pt idx="48">
                  <c:v>309.26</c:v>
                </c:pt>
                <c:pt idx="49">
                  <c:v>308.72000000000003</c:v>
                </c:pt>
                <c:pt idx="50">
                  <c:v>319.91000000000003</c:v>
                </c:pt>
                <c:pt idx="51">
                  <c:v>322.27</c:v>
                </c:pt>
                <c:pt idx="52">
                  <c:v>329.65</c:v>
                </c:pt>
                <c:pt idx="53">
                  <c:v>339.03</c:v>
                </c:pt>
                <c:pt idx="54">
                  <c:v>340.84</c:v>
                </c:pt>
                <c:pt idx="55">
                  <c:v>339.38</c:v>
                </c:pt>
                <c:pt idx="56">
                  <c:v>335.58</c:v>
                </c:pt>
                <c:pt idx="57">
                  <c:v>330.56</c:v>
                </c:pt>
                <c:pt idx="58">
                  <c:v>335.16</c:v>
                </c:pt>
                <c:pt idx="59">
                  <c:v>329.31</c:v>
                </c:pt>
                <c:pt idx="60">
                  <c:v>323.89999999999998</c:v>
                </c:pt>
                <c:pt idx="61">
                  <c:v>320.11</c:v>
                </c:pt>
                <c:pt idx="62">
                  <c:v>340.01</c:v>
                </c:pt>
                <c:pt idx="63">
                  <c:v>346.6</c:v>
                </c:pt>
                <c:pt idx="64">
                  <c:v>351.67</c:v>
                </c:pt>
                <c:pt idx="65">
                  <c:v>349.6</c:v>
                </c:pt>
                <c:pt idx="66">
                  <c:v>345.98</c:v>
                </c:pt>
                <c:pt idx="67">
                  <c:v>333.87</c:v>
                </c:pt>
                <c:pt idx="68">
                  <c:v>329.36</c:v>
                </c:pt>
                <c:pt idx="69">
                  <c:v>334.09</c:v>
                </c:pt>
                <c:pt idx="70">
                  <c:v>338.53</c:v>
                </c:pt>
                <c:pt idx="71">
                  <c:v>350.84</c:v>
                </c:pt>
                <c:pt idx="72">
                  <c:v>346.4</c:v>
                </c:pt>
                <c:pt idx="73">
                  <c:v>346.97</c:v>
                </c:pt>
                <c:pt idx="74">
                  <c:v>347.79</c:v>
                </c:pt>
                <c:pt idx="75">
                  <c:v>368.81</c:v>
                </c:pt>
                <c:pt idx="76">
                  <c:v>395.94</c:v>
                </c:pt>
                <c:pt idx="77">
                  <c:v>410.04</c:v>
                </c:pt>
                <c:pt idx="78">
                  <c:v>421.62</c:v>
                </c:pt>
                <c:pt idx="79">
                  <c:v>425.86</c:v>
                </c:pt>
                <c:pt idx="80">
                  <c:v>416.85</c:v>
                </c:pt>
                <c:pt idx="81">
                  <c:v>426.07</c:v>
                </c:pt>
                <c:pt idx="82">
                  <c:v>434.21</c:v>
                </c:pt>
                <c:pt idx="83">
                  <c:v>425.85</c:v>
                </c:pt>
                <c:pt idx="84">
                  <c:v>442.79</c:v>
                </c:pt>
                <c:pt idx="85">
                  <c:v>423.39</c:v>
                </c:pt>
                <c:pt idx="86">
                  <c:v>440.4</c:v>
                </c:pt>
                <c:pt idx="87">
                  <c:v>443.21</c:v>
                </c:pt>
                <c:pt idx="88">
                  <c:v>444.72</c:v>
                </c:pt>
                <c:pt idx="89">
                  <c:v>459.46</c:v>
                </c:pt>
                <c:pt idx="90">
                  <c:v>436</c:v>
                </c:pt>
                <c:pt idx="91">
                  <c:v>429.83</c:v>
                </c:pt>
                <c:pt idx="92">
                  <c:v>453.25</c:v>
                </c:pt>
                <c:pt idx="93">
                  <c:v>433.09</c:v>
                </c:pt>
                <c:pt idx="94">
                  <c:v>438.69</c:v>
                </c:pt>
                <c:pt idx="95">
                  <c:v>435.54</c:v>
                </c:pt>
                <c:pt idx="96">
                  <c:v>413.49</c:v>
                </c:pt>
                <c:pt idx="97">
                  <c:v>435.9</c:v>
                </c:pt>
                <c:pt idx="98">
                  <c:v>429.24</c:v>
                </c:pt>
                <c:pt idx="99">
                  <c:v>435.15</c:v>
                </c:pt>
                <c:pt idx="100">
                  <c:v>428.75</c:v>
                </c:pt>
                <c:pt idx="101">
                  <c:v>439.31</c:v>
                </c:pt>
                <c:pt idx="102">
                  <c:v>447.43</c:v>
                </c:pt>
                <c:pt idx="103">
                  <c:v>442.6</c:v>
                </c:pt>
                <c:pt idx="104">
                  <c:v>438.97</c:v>
                </c:pt>
                <c:pt idx="105">
                  <c:v>448.98</c:v>
                </c:pt>
                <c:pt idx="106">
                  <c:v>433.72</c:v>
                </c:pt>
                <c:pt idx="107">
                  <c:v>452.42</c:v>
                </c:pt>
                <c:pt idx="108">
                  <c:v>460.55</c:v>
                </c:pt>
                <c:pt idx="109">
                  <c:v>461.51</c:v>
                </c:pt>
                <c:pt idx="110">
                  <c:v>440.1</c:v>
                </c:pt>
                <c:pt idx="111">
                  <c:v>456.56</c:v>
                </c:pt>
                <c:pt idx="112">
                  <c:v>468.37</c:v>
                </c:pt>
                <c:pt idx="113">
                  <c:v>444.26</c:v>
                </c:pt>
                <c:pt idx="114">
                  <c:v>462.07</c:v>
                </c:pt>
                <c:pt idx="115">
                  <c:v>445.91</c:v>
                </c:pt>
                <c:pt idx="116">
                  <c:v>429.52</c:v>
                </c:pt>
                <c:pt idx="117">
                  <c:v>445.23</c:v>
                </c:pt>
                <c:pt idx="118">
                  <c:v>439.62</c:v>
                </c:pt>
                <c:pt idx="119">
                  <c:v>430.6</c:v>
                </c:pt>
                <c:pt idx="120">
                  <c:v>401.99</c:v>
                </c:pt>
                <c:pt idx="121">
                  <c:v>404.35</c:v>
                </c:pt>
                <c:pt idx="122">
                  <c:v>408.92</c:v>
                </c:pt>
                <c:pt idx="123">
                  <c:v>401.25</c:v>
                </c:pt>
                <c:pt idx="124">
                  <c:v>403.99</c:v>
                </c:pt>
                <c:pt idx="125">
                  <c:v>395.23</c:v>
                </c:pt>
                <c:pt idx="126">
                  <c:v>391.09</c:v>
                </c:pt>
                <c:pt idx="127">
                  <c:v>417.78</c:v>
                </c:pt>
                <c:pt idx="128">
                  <c:v>419.4</c:v>
                </c:pt>
                <c:pt idx="129">
                  <c:v>426.58</c:v>
                </c:pt>
                <c:pt idx="130">
                  <c:v>430.17</c:v>
                </c:pt>
                <c:pt idx="131">
                  <c:v>430.14</c:v>
                </c:pt>
                <c:pt idx="132">
                  <c:v>429.24</c:v>
                </c:pt>
                <c:pt idx="133">
                  <c:v>446.74</c:v>
                </c:pt>
                <c:pt idx="134">
                  <c:v>454.53</c:v>
                </c:pt>
                <c:pt idx="135">
                  <c:v>455</c:v>
                </c:pt>
                <c:pt idx="136">
                  <c:v>439.58</c:v>
                </c:pt>
                <c:pt idx="137">
                  <c:v>445.17</c:v>
                </c:pt>
                <c:pt idx="138">
                  <c:v>451.45</c:v>
                </c:pt>
                <c:pt idx="139">
                  <c:v>446.89</c:v>
                </c:pt>
                <c:pt idx="140">
                  <c:v>458.96</c:v>
                </c:pt>
                <c:pt idx="141">
                  <c:v>475.31</c:v>
                </c:pt>
                <c:pt idx="142">
                  <c:v>489.88</c:v>
                </c:pt>
                <c:pt idx="143">
                  <c:v>467.26</c:v>
                </c:pt>
                <c:pt idx="144">
                  <c:v>483.37</c:v>
                </c:pt>
                <c:pt idx="145">
                  <c:v>481.2</c:v>
                </c:pt>
                <c:pt idx="146">
                  <c:v>488.73</c:v>
                </c:pt>
                <c:pt idx="147">
                  <c:v>485.56</c:v>
                </c:pt>
                <c:pt idx="148">
                  <c:v>485.4</c:v>
                </c:pt>
                <c:pt idx="149">
                  <c:v>475.19</c:v>
                </c:pt>
                <c:pt idx="150">
                  <c:v>459.64</c:v>
                </c:pt>
                <c:pt idx="151">
                  <c:v>454.43</c:v>
                </c:pt>
                <c:pt idx="152">
                  <c:v>449.72</c:v>
                </c:pt>
                <c:pt idx="153">
                  <c:v>438.07</c:v>
                </c:pt>
                <c:pt idx="154">
                  <c:v>451.67</c:v>
                </c:pt>
                <c:pt idx="155">
                  <c:v>432.96</c:v>
                </c:pt>
                <c:pt idx="156">
                  <c:v>431.41</c:v>
                </c:pt>
                <c:pt idx="157">
                  <c:v>435.8</c:v>
                </c:pt>
                <c:pt idx="158">
                  <c:v>445.01</c:v>
                </c:pt>
                <c:pt idx="159">
                  <c:v>448.96</c:v>
                </c:pt>
                <c:pt idx="160">
                  <c:v>447.2</c:v>
                </c:pt>
                <c:pt idx="161">
                  <c:v>439.2</c:v>
                </c:pt>
                <c:pt idx="162">
                  <c:v>438.57</c:v>
                </c:pt>
                <c:pt idx="163">
                  <c:v>437.5</c:v>
                </c:pt>
                <c:pt idx="164">
                  <c:v>419.25</c:v>
                </c:pt>
                <c:pt idx="165">
                  <c:v>431.44</c:v>
                </c:pt>
                <c:pt idx="166">
                  <c:v>449.36</c:v>
                </c:pt>
                <c:pt idx="167">
                  <c:v>449.06</c:v>
                </c:pt>
                <c:pt idx="168">
                  <c:v>435.2</c:v>
                </c:pt>
                <c:pt idx="169">
                  <c:v>430.9</c:v>
                </c:pt>
                <c:pt idx="170">
                  <c:v>431.46</c:v>
                </c:pt>
                <c:pt idx="171">
                  <c:v>416.56</c:v>
                </c:pt>
                <c:pt idx="172">
                  <c:v>430.41</c:v>
                </c:pt>
                <c:pt idx="173">
                  <c:v>421.81</c:v>
                </c:pt>
                <c:pt idx="174">
                  <c:v>421.96</c:v>
                </c:pt>
                <c:pt idx="175">
                  <c:v>406.01</c:v>
                </c:pt>
                <c:pt idx="176">
                  <c:v>397.21</c:v>
                </c:pt>
                <c:pt idx="177">
                  <c:v>411.11</c:v>
                </c:pt>
                <c:pt idx="178">
                  <c:v>417.32</c:v>
                </c:pt>
                <c:pt idx="179">
                  <c:v>425.21</c:v>
                </c:pt>
                <c:pt idx="180">
                  <c:v>428.27</c:v>
                </c:pt>
                <c:pt idx="181">
                  <c:v>417.07</c:v>
                </c:pt>
                <c:pt idx="182">
                  <c:v>417.44</c:v>
                </c:pt>
                <c:pt idx="183">
                  <c:v>410.63</c:v>
                </c:pt>
                <c:pt idx="184">
                  <c:v>411.32</c:v>
                </c:pt>
                <c:pt idx="185">
                  <c:v>411.71</c:v>
                </c:pt>
                <c:pt idx="186">
                  <c:v>411.82</c:v>
                </c:pt>
                <c:pt idx="187">
                  <c:v>399.83</c:v>
                </c:pt>
                <c:pt idx="188">
                  <c:v>409.38</c:v>
                </c:pt>
                <c:pt idx="189">
                  <c:v>417.4</c:v>
                </c:pt>
                <c:pt idx="190">
                  <c:v>408.58</c:v>
                </c:pt>
                <c:pt idx="191">
                  <c:v>402.51</c:v>
                </c:pt>
                <c:pt idx="192">
                  <c:v>403.32</c:v>
                </c:pt>
                <c:pt idx="193">
                  <c:v>392.43</c:v>
                </c:pt>
                <c:pt idx="194">
                  <c:v>405.94</c:v>
                </c:pt>
                <c:pt idx="195">
                  <c:v>405.55</c:v>
                </c:pt>
                <c:pt idx="196">
                  <c:v>396.73</c:v>
                </c:pt>
                <c:pt idx="197">
                  <c:v>398.68</c:v>
                </c:pt>
                <c:pt idx="198">
                  <c:v>399.23</c:v>
                </c:pt>
                <c:pt idx="199">
                  <c:v>407.82</c:v>
                </c:pt>
                <c:pt idx="200">
                  <c:v>395.01</c:v>
                </c:pt>
                <c:pt idx="201">
                  <c:v>391.2</c:v>
                </c:pt>
                <c:pt idx="202">
                  <c:v>395.56</c:v>
                </c:pt>
                <c:pt idx="203">
                  <c:v>399.27</c:v>
                </c:pt>
                <c:pt idx="204">
                  <c:v>392.78</c:v>
                </c:pt>
                <c:pt idx="205">
                  <c:v>380.3</c:v>
                </c:pt>
                <c:pt idx="206">
                  <c:v>367.96</c:v>
                </c:pt>
                <c:pt idx="207">
                  <c:v>380.85</c:v>
                </c:pt>
                <c:pt idx="208">
                  <c:v>383.03</c:v>
                </c:pt>
                <c:pt idx="209">
                  <c:v>385.95</c:v>
                </c:pt>
                <c:pt idx="210">
                  <c:v>372.11</c:v>
                </c:pt>
                <c:pt idx="211">
                  <c:v>361.83</c:v>
                </c:pt>
                <c:pt idx="212">
                  <c:v>355.28</c:v>
                </c:pt>
                <c:pt idx="213">
                  <c:v>371.75</c:v>
                </c:pt>
                <c:pt idx="214">
                  <c:v>381.26</c:v>
                </c:pt>
                <c:pt idx="215">
                  <c:v>360.59</c:v>
                </c:pt>
                <c:pt idx="216">
                  <c:v>352.82</c:v>
                </c:pt>
                <c:pt idx="217">
                  <c:v>346.65</c:v>
                </c:pt>
                <c:pt idx="218">
                  <c:v>343.25</c:v>
                </c:pt>
                <c:pt idx="219">
                  <c:v>345.62</c:v>
                </c:pt>
                <c:pt idx="220">
                  <c:v>348.95</c:v>
                </c:pt>
                <c:pt idx="221">
                  <c:v>352.42</c:v>
                </c:pt>
                <c:pt idx="222">
                  <c:v>364.2</c:v>
                </c:pt>
                <c:pt idx="223">
                  <c:v>391.95</c:v>
                </c:pt>
                <c:pt idx="224">
                  <c:v>388.9</c:v>
                </c:pt>
                <c:pt idx="225">
                  <c:v>400.62</c:v>
                </c:pt>
                <c:pt idx="226">
                  <c:v>392.5</c:v>
                </c:pt>
                <c:pt idx="227">
                  <c:v>386.42</c:v>
                </c:pt>
                <c:pt idx="228">
                  <c:v>387.51</c:v>
                </c:pt>
                <c:pt idx="229">
                  <c:v>373.72</c:v>
                </c:pt>
                <c:pt idx="230">
                  <c:v>376.3</c:v>
                </c:pt>
                <c:pt idx="231">
                  <c:v>378.67</c:v>
                </c:pt>
                <c:pt idx="232">
                  <c:v>376.02</c:v>
                </c:pt>
                <c:pt idx="233">
                  <c:v>372.8</c:v>
                </c:pt>
                <c:pt idx="234">
                  <c:v>381.63</c:v>
                </c:pt>
                <c:pt idx="235">
                  <c:v>390.82</c:v>
                </c:pt>
                <c:pt idx="236">
                  <c:v>392.51</c:v>
                </c:pt>
                <c:pt idx="237">
                  <c:v>389.37</c:v>
                </c:pt>
                <c:pt idx="238">
                  <c:v>398.73</c:v>
                </c:pt>
                <c:pt idx="239">
                  <c:v>411.79</c:v>
                </c:pt>
                <c:pt idx="240">
                  <c:v>428.35</c:v>
                </c:pt>
                <c:pt idx="241">
                  <c:v>445</c:v>
                </c:pt>
                <c:pt idx="242">
                  <c:v>433.45</c:v>
                </c:pt>
                <c:pt idx="243">
                  <c:v>445.27</c:v>
                </c:pt>
                <c:pt idx="244">
                  <c:v>443.3</c:v>
                </c:pt>
                <c:pt idx="245">
                  <c:v>422.24</c:v>
                </c:pt>
                <c:pt idx="246">
                  <c:v>409.99</c:v>
                </c:pt>
                <c:pt idx="247">
                  <c:v>404.11</c:v>
                </c:pt>
                <c:pt idx="248">
                  <c:v>417.26</c:v>
                </c:pt>
                <c:pt idx="249">
                  <c:v>417.85</c:v>
                </c:pt>
                <c:pt idx="250">
                  <c:v>426.01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8F-4A51-B072-26BE87392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173616"/>
        <c:axId val="1531175056"/>
      </c:lineChart>
      <c:dateAx>
        <c:axId val="1531173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175056"/>
        <c:crosses val="autoZero"/>
        <c:auto val="1"/>
        <c:lblOffset val="100"/>
        <c:baseTimeUnit val="days"/>
      </c:dateAx>
      <c:valAx>
        <c:axId val="153117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173616"/>
        <c:crosses val="autoZero"/>
        <c:crossBetween val="between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295277</xdr:colOff>
      <xdr:row>5</xdr:row>
      <xdr:rowOff>133351</xdr:rowOff>
    </xdr:from>
    <xdr:to>
      <xdr:col>17</xdr:col>
      <xdr:colOff>38101</xdr:colOff>
      <xdr:row>26</xdr:row>
      <xdr:rowOff>28576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139C24-84B4-4BAB-A59E-2F0C7E4CD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705311-4F1F-413F-A803-91A14C4C8DE8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5D1DB47-AD3A-4881-B7C2-5B0EF9B8D0A4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54B2F1C-5ABF-4CD0-8138-850821F5D45C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Price" tableColumnId="2"/>
      <queryTableField id="3" name="Open" tableColumnId="3"/>
      <queryTableField id="4" name="High" tableColumnId="4"/>
      <queryTableField id="5" name="Low" tableColumnId="5"/>
      <queryTableField id="6" name="Vol." tableColumnId="6"/>
      <queryTableField id="7" name="Change %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ADAC4-2EF1-49CD-824F-6C7B02D80938}" name="Microsoft_Stock_Price_History" displayName="Microsoft_Stock_Price_History" ref="A1:G253" tableType="queryTable" totalsRowShown="0">
  <autoFilter ref="A1:G253" xr:uid="{7A0ADAC4-2EF1-49CD-824F-6C7B02D80938}"/>
  <sortState xmlns:xlrd2="http://schemas.microsoft.com/office/spreadsheetml/2017/richdata2" ref="A2:G253">
    <sortCondition ref="A2:A253"/>
  </sortState>
  <tableColumns count="7">
    <tableColumn id="1" xr3:uid="{26CD4FDF-5DA5-463F-B51B-A81F6E7FDC7E}" uniqueName="1" name="Date" queryTableFieldId="1" dataDxfId="5"/>
    <tableColumn id="2" xr3:uid="{3B81BDB8-4ED7-43E2-8CDB-5C1B2E343E96}" uniqueName="2" name="Price" queryTableFieldId="2"/>
    <tableColumn id="3" xr3:uid="{AB291E2E-4579-4774-B419-8376D31E78E0}" uniqueName="3" name="Open" queryTableFieldId="3"/>
    <tableColumn id="4" xr3:uid="{FAC65A9C-EC0B-45D4-9E19-601A861F2110}" uniqueName="4" name="High" queryTableFieldId="4"/>
    <tableColumn id="5" xr3:uid="{259B7966-E2EA-4B9F-9016-C48104821B7A}" uniqueName="5" name="Low" queryTableFieldId="5"/>
    <tableColumn id="6" xr3:uid="{43A2839F-5A07-42F8-88A6-41254177E9B7}" uniqueName="6" name="Vol." queryTableFieldId="6" dataDxfId="4"/>
    <tableColumn id="7" xr3:uid="{08304305-687B-47AA-8502-2B0F59DD6163}" uniqueName="7" name="Change %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B645F8-5870-4BF4-B421-3E6FD3CB87B5}" name="NVIDIA_Stock_Price_History" displayName="NVIDIA_Stock_Price_History" ref="A1:G252" tableType="queryTable" totalsRowShown="0">
  <autoFilter ref="A1:G252" xr:uid="{EEB645F8-5870-4BF4-B421-3E6FD3CB87B5}"/>
  <sortState xmlns:xlrd2="http://schemas.microsoft.com/office/spreadsheetml/2017/richdata2" ref="A2:G252">
    <sortCondition ref="A1:A252"/>
  </sortState>
  <tableColumns count="7">
    <tableColumn id="1" xr3:uid="{8BDA80BD-130C-4244-A4D9-4070CED1E1B3}" uniqueName="1" name="Date" queryTableFieldId="1" dataDxfId="3"/>
    <tableColumn id="2" xr3:uid="{7731F442-6114-45FE-9B93-1F8945A7E6A3}" uniqueName="2" name="Price" queryTableFieldId="2"/>
    <tableColumn id="3" xr3:uid="{D1200A4E-56DC-4108-9047-BECF25424FD1}" uniqueName="3" name="Open" queryTableFieldId="3"/>
    <tableColumn id="4" xr3:uid="{1E08AB4A-7AD6-4060-899D-F958D57391A8}" uniqueName="4" name="High" queryTableFieldId="4"/>
    <tableColumn id="5" xr3:uid="{27136B14-D3E9-4F36-8F4A-DDA6EF864D4D}" uniqueName="5" name="Low" queryTableFieldId="5"/>
    <tableColumn id="6" xr3:uid="{C78C1189-4509-4E85-A2D1-8DFF4D70AA9A}" uniqueName="6" name="Vol." queryTableFieldId="6" dataDxfId="2"/>
    <tableColumn id="7" xr3:uid="{8861589B-00C6-4CFD-A1AA-5C8C41ABCF88}" uniqueName="7" name="Change %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E59124-BD0C-4CB6-A068-CE16930333D0}" name="Tesla_Stock_Price_History" displayName="Tesla_Stock_Price_History" ref="A1:G252" tableType="queryTable" totalsRowShown="0">
  <autoFilter ref="A1:G252" xr:uid="{5EE59124-BD0C-4CB6-A068-CE16930333D0}"/>
  <sortState xmlns:xlrd2="http://schemas.microsoft.com/office/spreadsheetml/2017/richdata2" ref="A2:G252">
    <sortCondition ref="A1:A252"/>
  </sortState>
  <tableColumns count="7">
    <tableColumn id="1" xr3:uid="{678F1E2F-AFBA-4868-8615-10616BF478FF}" uniqueName="1" name="Date" queryTableFieldId="1" dataDxfId="1"/>
    <tableColumn id="2" xr3:uid="{E3876034-9C68-41BC-B005-B269EB9F1DB3}" uniqueName="2" name="Price" queryTableFieldId="2"/>
    <tableColumn id="3" xr3:uid="{1CF6CAFA-8B1B-4136-A267-F94EC7EA7C15}" uniqueName="3" name="Open" queryTableFieldId="3"/>
    <tableColumn id="4" xr3:uid="{AF88CA4F-01FB-42AA-AA84-7BA22F69C2F2}" uniqueName="4" name="High" queryTableFieldId="4"/>
    <tableColumn id="5" xr3:uid="{4633E711-7DEE-44CA-865F-C952398AD71A}" uniqueName="5" name="Low" queryTableFieldId="5"/>
    <tableColumn id="6" xr3:uid="{FFA696CF-0E74-4D7B-B72B-D2906C1D6290}" uniqueName="6" name="Vol." queryTableFieldId="6" dataDxfId="0"/>
    <tableColumn id="7" xr3:uid="{06C8F335-C507-4252-BEE0-E7EA83291CC6}" uniqueName="7" name="Change %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4139-09DC-47D8-A278-ECD7E8C73170}">
  <dimension ref="A1:G252"/>
  <sheetViews>
    <sheetView workbookViewId="0">
      <selection activeCell="P17" sqref="P17"/>
    </sheetView>
  </sheetViews>
  <sheetFormatPr defaultRowHeight="14.25" x14ac:dyDescent="0.45"/>
  <cols>
    <col min="1" max="1" width="9.9296875" style="4" bestFit="1" customWidth="1"/>
    <col min="2" max="5" width="7.59765625" bestFit="1" customWidth="1"/>
    <col min="6" max="6" width="7.6640625" bestFit="1" customWidth="1"/>
    <col min="7" max="7" width="10.73046875" bestFit="1" customWidth="1"/>
  </cols>
  <sheetData>
    <row r="1" spans="1:7" x14ac:dyDescent="0.4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4">
        <v>45800</v>
      </c>
      <c r="B2" s="1">
        <v>450.18</v>
      </c>
      <c r="C2" s="1">
        <v>449.98</v>
      </c>
      <c r="D2" s="1">
        <v>453.69</v>
      </c>
      <c r="E2" s="1">
        <v>448.91</v>
      </c>
      <c r="F2" t="s">
        <v>247</v>
      </c>
      <c r="G2">
        <v>-1.03E-2</v>
      </c>
    </row>
    <row r="3" spans="1:7" x14ac:dyDescent="0.45">
      <c r="A3" s="4">
        <v>45804</v>
      </c>
      <c r="B3" s="1">
        <v>460.69</v>
      </c>
      <c r="C3" s="1">
        <v>456.48</v>
      </c>
      <c r="D3" s="1">
        <v>460.95</v>
      </c>
      <c r="E3" s="1">
        <v>456.11</v>
      </c>
      <c r="F3" t="s">
        <v>246</v>
      </c>
      <c r="G3">
        <v>2.3300000000000001E-2</v>
      </c>
    </row>
    <row r="4" spans="1:7" x14ac:dyDescent="0.45">
      <c r="A4" s="4">
        <v>45805</v>
      </c>
      <c r="B4" s="1">
        <v>457.36</v>
      </c>
      <c r="C4" s="1">
        <v>461.22</v>
      </c>
      <c r="D4" s="1">
        <v>462.52</v>
      </c>
      <c r="E4" s="1">
        <v>456.93</v>
      </c>
      <c r="F4" t="s">
        <v>245</v>
      </c>
      <c r="G4">
        <v>-7.1999999999999998E-3</v>
      </c>
    </row>
    <row r="5" spans="1:7" x14ac:dyDescent="0.45">
      <c r="A5" s="4">
        <v>45806</v>
      </c>
      <c r="B5" s="1">
        <v>458.68</v>
      </c>
      <c r="C5" s="1">
        <v>461.55</v>
      </c>
      <c r="D5" s="1">
        <v>461.72</v>
      </c>
      <c r="E5" s="1">
        <v>455.31</v>
      </c>
      <c r="F5" t="s">
        <v>224</v>
      </c>
      <c r="G5">
        <v>2.8999999999999998E-3</v>
      </c>
    </row>
    <row r="6" spans="1:7" x14ac:dyDescent="0.45">
      <c r="A6" s="4">
        <v>45807</v>
      </c>
      <c r="B6" s="1">
        <v>460.36</v>
      </c>
      <c r="C6" s="1">
        <v>459.71</v>
      </c>
      <c r="D6" s="1">
        <v>461.68</v>
      </c>
      <c r="E6" s="1">
        <v>455.54</v>
      </c>
      <c r="F6" t="s">
        <v>244</v>
      </c>
      <c r="G6">
        <v>3.7000000000000002E-3</v>
      </c>
    </row>
    <row r="7" spans="1:7" x14ac:dyDescent="0.45">
      <c r="A7" s="4">
        <v>45810</v>
      </c>
      <c r="B7" s="1">
        <v>461.97</v>
      </c>
      <c r="C7" s="1">
        <v>457.14</v>
      </c>
      <c r="D7" s="1">
        <v>462.11</v>
      </c>
      <c r="E7" s="1">
        <v>456.89</v>
      </c>
      <c r="F7" t="s">
        <v>243</v>
      </c>
      <c r="G7">
        <v>3.5000000000000001E-3</v>
      </c>
    </row>
    <row r="8" spans="1:7" x14ac:dyDescent="0.45">
      <c r="A8" s="4">
        <v>45811</v>
      </c>
      <c r="B8" s="1">
        <v>462.97</v>
      </c>
      <c r="C8" s="1">
        <v>461.47</v>
      </c>
      <c r="D8" s="1">
        <v>464.14</v>
      </c>
      <c r="E8" s="1">
        <v>460.86</v>
      </c>
      <c r="F8" t="s">
        <v>242</v>
      </c>
      <c r="G8">
        <v>2.2000000000000001E-3</v>
      </c>
    </row>
    <row r="9" spans="1:7" x14ac:dyDescent="0.45">
      <c r="A9" s="4">
        <v>45812</v>
      </c>
      <c r="B9" s="1">
        <v>463.87</v>
      </c>
      <c r="C9" s="1">
        <v>464</v>
      </c>
      <c r="D9" s="1">
        <v>465.69</v>
      </c>
      <c r="E9" s="1">
        <v>463.02</v>
      </c>
      <c r="F9" t="s">
        <v>241</v>
      </c>
      <c r="G9">
        <v>1.9E-3</v>
      </c>
    </row>
    <row r="10" spans="1:7" x14ac:dyDescent="0.45">
      <c r="A10" s="4">
        <v>45813</v>
      </c>
      <c r="B10" s="1">
        <v>467.68</v>
      </c>
      <c r="C10" s="1">
        <v>464.95</v>
      </c>
      <c r="D10" s="1">
        <v>469.65</v>
      </c>
      <c r="E10" s="1">
        <v>464.03</v>
      </c>
      <c r="F10" t="s">
        <v>240</v>
      </c>
      <c r="G10">
        <v>8.2000000000000007E-3</v>
      </c>
    </row>
    <row r="11" spans="1:7" x14ac:dyDescent="0.45">
      <c r="A11" s="4">
        <v>45814</v>
      </c>
      <c r="B11" s="1">
        <v>470.38</v>
      </c>
      <c r="C11" s="1">
        <v>470.08</v>
      </c>
      <c r="D11" s="1">
        <v>473.33</v>
      </c>
      <c r="E11" s="1">
        <v>468.78</v>
      </c>
      <c r="F11" t="s">
        <v>239</v>
      </c>
      <c r="G11">
        <v>5.7999999999999996E-3</v>
      </c>
    </row>
    <row r="12" spans="1:7" x14ac:dyDescent="0.45">
      <c r="A12" s="4">
        <v>45817</v>
      </c>
      <c r="B12" s="1">
        <v>472.75</v>
      </c>
      <c r="C12" s="1">
        <v>469.7</v>
      </c>
      <c r="D12" s="1">
        <v>473.43</v>
      </c>
      <c r="E12" s="1">
        <v>468.62</v>
      </c>
      <c r="F12" t="s">
        <v>208</v>
      </c>
      <c r="G12">
        <v>5.0000000000000001E-3</v>
      </c>
    </row>
    <row r="13" spans="1:7" x14ac:dyDescent="0.45">
      <c r="A13" s="4">
        <v>45818</v>
      </c>
      <c r="B13" s="1">
        <v>470.92</v>
      </c>
      <c r="C13" s="1">
        <v>471.18</v>
      </c>
      <c r="D13" s="1">
        <v>472.8</v>
      </c>
      <c r="E13" s="1">
        <v>466.96</v>
      </c>
      <c r="F13" t="s">
        <v>238</v>
      </c>
      <c r="G13">
        <v>-3.8999999999999998E-3</v>
      </c>
    </row>
    <row r="14" spans="1:7" x14ac:dyDescent="0.45">
      <c r="A14" s="4">
        <v>45819</v>
      </c>
      <c r="B14" s="1">
        <v>472.62</v>
      </c>
      <c r="C14" s="1">
        <v>470.02</v>
      </c>
      <c r="D14" s="1">
        <v>475.47</v>
      </c>
      <c r="E14" s="1">
        <v>469.65</v>
      </c>
      <c r="F14" t="s">
        <v>212</v>
      </c>
      <c r="G14">
        <v>3.5999999999999999E-3</v>
      </c>
    </row>
    <row r="15" spans="1:7" x14ac:dyDescent="0.45">
      <c r="A15" s="4">
        <v>45820</v>
      </c>
      <c r="B15" s="1">
        <v>478.87</v>
      </c>
      <c r="C15" s="1">
        <v>475.02</v>
      </c>
      <c r="D15" s="1">
        <v>480.42</v>
      </c>
      <c r="E15" s="1">
        <v>473.52</v>
      </c>
      <c r="F15" t="s">
        <v>237</v>
      </c>
      <c r="G15">
        <v>1.32E-2</v>
      </c>
    </row>
    <row r="16" spans="1:7" x14ac:dyDescent="0.45">
      <c r="A16" s="4">
        <v>45821</v>
      </c>
      <c r="B16" s="1">
        <v>474.96</v>
      </c>
      <c r="C16" s="1">
        <v>476.41</v>
      </c>
      <c r="D16" s="1">
        <v>479.18</v>
      </c>
      <c r="E16" s="1">
        <v>472.76</v>
      </c>
      <c r="F16" t="s">
        <v>236</v>
      </c>
      <c r="G16">
        <v>-8.2000000000000007E-3</v>
      </c>
    </row>
    <row r="17" spans="1:7" x14ac:dyDescent="0.45">
      <c r="A17" s="4">
        <v>45824</v>
      </c>
      <c r="B17" s="1">
        <v>479.14</v>
      </c>
      <c r="C17" s="1">
        <v>475.21</v>
      </c>
      <c r="D17" s="1">
        <v>480.69</v>
      </c>
      <c r="E17" s="1">
        <v>475</v>
      </c>
      <c r="F17" t="s">
        <v>235</v>
      </c>
      <c r="G17">
        <v>8.8000000000000005E-3</v>
      </c>
    </row>
    <row r="18" spans="1:7" x14ac:dyDescent="0.45">
      <c r="A18" s="4">
        <v>45825</v>
      </c>
      <c r="B18" s="1">
        <v>478.04</v>
      </c>
      <c r="C18" s="1">
        <v>475.39</v>
      </c>
      <c r="D18" s="1">
        <v>478.74</v>
      </c>
      <c r="E18" s="1">
        <v>474.08</v>
      </c>
      <c r="F18" t="s">
        <v>234</v>
      </c>
      <c r="G18">
        <v>-2.3E-3</v>
      </c>
    </row>
    <row r="19" spans="1:7" x14ac:dyDescent="0.45">
      <c r="A19" s="4">
        <v>45826</v>
      </c>
      <c r="B19" s="1">
        <v>480.24</v>
      </c>
      <c r="C19" s="1">
        <v>478</v>
      </c>
      <c r="D19" s="1">
        <v>481</v>
      </c>
      <c r="E19" s="1">
        <v>474.46</v>
      </c>
      <c r="F19" t="s">
        <v>233</v>
      </c>
      <c r="G19">
        <v>4.5999999999999999E-3</v>
      </c>
    </row>
    <row r="20" spans="1:7" x14ac:dyDescent="0.45">
      <c r="A20" s="4">
        <v>45828</v>
      </c>
      <c r="B20" s="1">
        <v>477.4</v>
      </c>
      <c r="C20" s="1">
        <v>482.23</v>
      </c>
      <c r="D20" s="1">
        <v>483.46</v>
      </c>
      <c r="E20" s="1">
        <v>476.87</v>
      </c>
      <c r="F20" t="s">
        <v>232</v>
      </c>
      <c r="G20">
        <v>-5.8999999999999999E-3</v>
      </c>
    </row>
    <row r="21" spans="1:7" x14ac:dyDescent="0.45">
      <c r="A21" s="4">
        <v>45831</v>
      </c>
      <c r="B21" s="1">
        <v>486</v>
      </c>
      <c r="C21" s="1">
        <v>478.21</v>
      </c>
      <c r="D21" s="1">
        <v>487.75</v>
      </c>
      <c r="E21" s="1">
        <v>472.51</v>
      </c>
      <c r="F21" t="s">
        <v>231</v>
      </c>
      <c r="G21">
        <v>1.7999999999999999E-2</v>
      </c>
    </row>
    <row r="22" spans="1:7" x14ac:dyDescent="0.45">
      <c r="A22" s="4">
        <v>45832</v>
      </c>
      <c r="B22" s="1">
        <v>490.11</v>
      </c>
      <c r="C22" s="1">
        <v>488.95</v>
      </c>
      <c r="D22" s="1">
        <v>491.85</v>
      </c>
      <c r="E22" s="1">
        <v>486.8</v>
      </c>
      <c r="F22" t="s">
        <v>230</v>
      </c>
      <c r="G22">
        <v>8.5000000000000006E-3</v>
      </c>
    </row>
    <row r="23" spans="1:7" x14ac:dyDescent="0.45">
      <c r="A23" s="4">
        <v>45833</v>
      </c>
      <c r="B23" s="1">
        <v>492.27</v>
      </c>
      <c r="C23" s="1">
        <v>492.04</v>
      </c>
      <c r="D23" s="1">
        <v>494.56</v>
      </c>
      <c r="E23" s="1">
        <v>489.39</v>
      </c>
      <c r="F23" t="s">
        <v>216</v>
      </c>
      <c r="G23">
        <v>4.4000000000000003E-3</v>
      </c>
    </row>
    <row r="24" spans="1:7" x14ac:dyDescent="0.45">
      <c r="A24" s="4">
        <v>45834</v>
      </c>
      <c r="B24" s="1">
        <v>497.45</v>
      </c>
      <c r="C24" s="1">
        <v>492.98</v>
      </c>
      <c r="D24" s="1">
        <v>498.04</v>
      </c>
      <c r="E24" s="1">
        <v>492.81</v>
      </c>
      <c r="F24" t="s">
        <v>229</v>
      </c>
      <c r="G24">
        <v>1.0500000000000001E-2</v>
      </c>
    </row>
    <row r="25" spans="1:7" x14ac:dyDescent="0.45">
      <c r="A25" s="4">
        <v>45835</v>
      </c>
      <c r="B25" s="1">
        <v>495.94</v>
      </c>
      <c r="C25" s="1">
        <v>497.55</v>
      </c>
      <c r="D25" s="1">
        <v>499.3</v>
      </c>
      <c r="E25" s="1">
        <v>493.03</v>
      </c>
      <c r="F25" t="s">
        <v>228</v>
      </c>
      <c r="G25">
        <v>-3.0000000000000001E-3</v>
      </c>
    </row>
    <row r="26" spans="1:7" x14ac:dyDescent="0.45">
      <c r="A26" s="4">
        <v>45838</v>
      </c>
      <c r="B26" s="1">
        <v>497.41</v>
      </c>
      <c r="C26" s="1">
        <v>497.04</v>
      </c>
      <c r="D26" s="1">
        <v>500.76</v>
      </c>
      <c r="E26" s="1">
        <v>495.33</v>
      </c>
      <c r="F26" t="s">
        <v>227</v>
      </c>
      <c r="G26">
        <v>3.0000000000000001E-3</v>
      </c>
    </row>
    <row r="27" spans="1:7" x14ac:dyDescent="0.45">
      <c r="A27" s="4">
        <v>45839</v>
      </c>
      <c r="B27" s="1">
        <v>492.05</v>
      </c>
      <c r="C27" s="1">
        <v>496.47</v>
      </c>
      <c r="D27" s="1">
        <v>498.05</v>
      </c>
      <c r="E27" s="1">
        <v>490.98</v>
      </c>
      <c r="F27" t="s">
        <v>226</v>
      </c>
      <c r="G27">
        <v>-1.0800000000000001E-2</v>
      </c>
    </row>
    <row r="28" spans="1:7" x14ac:dyDescent="0.45">
      <c r="A28" s="4">
        <v>45840</v>
      </c>
      <c r="B28" s="1">
        <v>491.09</v>
      </c>
      <c r="C28" s="1">
        <v>489.99</v>
      </c>
      <c r="D28" s="1">
        <v>493.5</v>
      </c>
      <c r="E28" s="1">
        <v>488.7</v>
      </c>
      <c r="F28" t="s">
        <v>225</v>
      </c>
      <c r="G28">
        <v>-2E-3</v>
      </c>
    </row>
    <row r="29" spans="1:7" x14ac:dyDescent="0.45">
      <c r="A29" s="4">
        <v>45841</v>
      </c>
      <c r="B29" s="1">
        <v>498.84</v>
      </c>
      <c r="C29" s="1">
        <v>493.81</v>
      </c>
      <c r="D29" s="1">
        <v>500.13</v>
      </c>
      <c r="E29" s="1">
        <v>493.44</v>
      </c>
      <c r="F29" t="s">
        <v>224</v>
      </c>
      <c r="G29">
        <v>1.5800000000000002E-2</v>
      </c>
    </row>
    <row r="30" spans="1:7" x14ac:dyDescent="0.45">
      <c r="A30" s="4">
        <v>45845</v>
      </c>
      <c r="B30" s="1">
        <v>497.72</v>
      </c>
      <c r="C30" s="1">
        <v>497.38</v>
      </c>
      <c r="D30" s="1">
        <v>498.75</v>
      </c>
      <c r="E30" s="1">
        <v>495.23</v>
      </c>
      <c r="F30" t="s">
        <v>224</v>
      </c>
      <c r="G30">
        <v>-2.2000000000000001E-3</v>
      </c>
    </row>
    <row r="31" spans="1:7" x14ac:dyDescent="0.45">
      <c r="A31" s="4">
        <v>45846</v>
      </c>
      <c r="B31" s="1">
        <v>496.62</v>
      </c>
      <c r="C31" s="1">
        <v>497.24</v>
      </c>
      <c r="D31" s="1">
        <v>498.2</v>
      </c>
      <c r="E31" s="1">
        <v>494.11</v>
      </c>
      <c r="F31" t="s">
        <v>223</v>
      </c>
      <c r="G31">
        <v>-2.2000000000000001E-3</v>
      </c>
    </row>
    <row r="32" spans="1:7" x14ac:dyDescent="0.45">
      <c r="A32" s="4">
        <v>45847</v>
      </c>
      <c r="B32" s="1">
        <v>503.51</v>
      </c>
      <c r="C32" s="1">
        <v>500.3</v>
      </c>
      <c r="D32" s="1">
        <v>506.78</v>
      </c>
      <c r="E32" s="1">
        <v>499.74</v>
      </c>
      <c r="F32" t="s">
        <v>222</v>
      </c>
      <c r="G32">
        <v>1.3899999999999999E-2</v>
      </c>
    </row>
    <row r="33" spans="1:7" x14ac:dyDescent="0.45">
      <c r="A33" s="4">
        <v>45848</v>
      </c>
      <c r="B33" s="1">
        <v>501.48</v>
      </c>
      <c r="C33" s="1">
        <v>503.05</v>
      </c>
      <c r="D33" s="1">
        <v>504.44</v>
      </c>
      <c r="E33" s="1">
        <v>497.75</v>
      </c>
      <c r="F33" t="s">
        <v>221</v>
      </c>
      <c r="G33">
        <v>-4.0000000000000001E-3</v>
      </c>
    </row>
    <row r="34" spans="1:7" x14ac:dyDescent="0.45">
      <c r="A34" s="4">
        <v>45849</v>
      </c>
      <c r="B34" s="1">
        <v>503.32</v>
      </c>
      <c r="C34" s="1">
        <v>498.47</v>
      </c>
      <c r="D34" s="1">
        <v>505.03</v>
      </c>
      <c r="E34" s="1">
        <v>497.8</v>
      </c>
      <c r="F34" t="s">
        <v>220</v>
      </c>
      <c r="G34">
        <v>3.7000000000000002E-3</v>
      </c>
    </row>
    <row r="35" spans="1:7" x14ac:dyDescent="0.45">
      <c r="A35" s="4">
        <v>45852</v>
      </c>
      <c r="B35" s="1">
        <v>503.02</v>
      </c>
      <c r="C35" s="1">
        <v>501.52</v>
      </c>
      <c r="D35" s="1">
        <v>503.97</v>
      </c>
      <c r="E35" s="1">
        <v>501.03</v>
      </c>
      <c r="F35" t="s">
        <v>219</v>
      </c>
      <c r="G35">
        <v>-5.9999999999999995E-4</v>
      </c>
    </row>
    <row r="36" spans="1:7" x14ac:dyDescent="0.45">
      <c r="A36" s="4">
        <v>45853</v>
      </c>
      <c r="B36" s="1">
        <v>505.82</v>
      </c>
      <c r="C36" s="1">
        <v>503.02</v>
      </c>
      <c r="D36" s="1">
        <v>508.3</v>
      </c>
      <c r="E36" s="1">
        <v>502.79</v>
      </c>
      <c r="F36" t="s">
        <v>218</v>
      </c>
      <c r="G36">
        <v>5.5999999999999999E-3</v>
      </c>
    </row>
    <row r="37" spans="1:7" x14ac:dyDescent="0.45">
      <c r="A37" s="4">
        <v>45854</v>
      </c>
      <c r="B37" s="1">
        <v>505.62</v>
      </c>
      <c r="C37" s="1">
        <v>505.18</v>
      </c>
      <c r="D37" s="1">
        <v>506.72</v>
      </c>
      <c r="E37" s="1">
        <v>501.89</v>
      </c>
      <c r="F37" t="s">
        <v>217</v>
      </c>
      <c r="G37">
        <v>-4.0000000000000002E-4</v>
      </c>
    </row>
    <row r="38" spans="1:7" x14ac:dyDescent="0.45">
      <c r="A38" s="4">
        <v>45855</v>
      </c>
      <c r="B38" s="1">
        <v>511.7</v>
      </c>
      <c r="C38" s="1">
        <v>505.68</v>
      </c>
      <c r="D38" s="1">
        <v>513.37</v>
      </c>
      <c r="E38" s="1">
        <v>505.62</v>
      </c>
      <c r="F38" t="s">
        <v>216</v>
      </c>
      <c r="G38">
        <v>1.2E-2</v>
      </c>
    </row>
    <row r="39" spans="1:7" x14ac:dyDescent="0.45">
      <c r="A39" s="4">
        <v>45856</v>
      </c>
      <c r="B39" s="1">
        <v>510.05</v>
      </c>
      <c r="C39" s="1">
        <v>514.48</v>
      </c>
      <c r="D39" s="1">
        <v>514.64</v>
      </c>
      <c r="E39" s="1">
        <v>507.43</v>
      </c>
      <c r="F39" t="s">
        <v>215</v>
      </c>
      <c r="G39">
        <v>-3.2000000000000002E-3</v>
      </c>
    </row>
    <row r="40" spans="1:7" x14ac:dyDescent="0.45">
      <c r="A40" s="4">
        <v>45859</v>
      </c>
      <c r="B40" s="1">
        <v>510.06</v>
      </c>
      <c r="C40" s="1">
        <v>506.7</v>
      </c>
      <c r="D40" s="1">
        <v>512.09</v>
      </c>
      <c r="E40" s="1">
        <v>505.55</v>
      </c>
      <c r="F40" t="s">
        <v>214</v>
      </c>
      <c r="G40">
        <v>0</v>
      </c>
    </row>
    <row r="41" spans="1:7" x14ac:dyDescent="0.45">
      <c r="A41" s="4">
        <v>45860</v>
      </c>
      <c r="B41" s="1">
        <v>505.27</v>
      </c>
      <c r="C41" s="1">
        <v>510.97</v>
      </c>
      <c r="D41" s="1">
        <v>511.2</v>
      </c>
      <c r="E41" s="1">
        <v>505.27</v>
      </c>
      <c r="F41" t="s">
        <v>213</v>
      </c>
      <c r="G41">
        <v>-9.4000000000000004E-3</v>
      </c>
    </row>
    <row r="42" spans="1:7" x14ac:dyDescent="0.45">
      <c r="A42" s="4">
        <v>45861</v>
      </c>
      <c r="B42" s="1">
        <v>505.87</v>
      </c>
      <c r="C42" s="1">
        <v>506.75</v>
      </c>
      <c r="D42" s="1">
        <v>506.79</v>
      </c>
      <c r="E42" s="1">
        <v>500.7</v>
      </c>
      <c r="F42" t="s">
        <v>212</v>
      </c>
      <c r="G42">
        <v>1.1999999999999999E-3</v>
      </c>
    </row>
    <row r="43" spans="1:7" x14ac:dyDescent="0.45">
      <c r="A43" s="4">
        <v>45862</v>
      </c>
      <c r="B43" s="1">
        <v>510.88</v>
      </c>
      <c r="C43" s="1">
        <v>508.77</v>
      </c>
      <c r="D43" s="1">
        <v>513.66999999999996</v>
      </c>
      <c r="E43" s="1">
        <v>507.3</v>
      </c>
      <c r="F43" t="s">
        <v>211</v>
      </c>
      <c r="G43">
        <v>9.9000000000000008E-3</v>
      </c>
    </row>
    <row r="44" spans="1:7" x14ac:dyDescent="0.45">
      <c r="A44" s="4">
        <v>45863</v>
      </c>
      <c r="B44" s="1">
        <v>513.71</v>
      </c>
      <c r="C44" s="1">
        <v>512.47</v>
      </c>
      <c r="D44" s="1">
        <v>518.29</v>
      </c>
      <c r="E44" s="1">
        <v>510.36</v>
      </c>
      <c r="F44" t="s">
        <v>210</v>
      </c>
      <c r="G44">
        <v>5.4999999999999997E-3</v>
      </c>
    </row>
    <row r="45" spans="1:7" x14ac:dyDescent="0.45">
      <c r="A45" s="4">
        <v>45866</v>
      </c>
      <c r="B45" s="1">
        <v>512.5</v>
      </c>
      <c r="C45" s="1">
        <v>514.08000000000004</v>
      </c>
      <c r="D45" s="1">
        <v>515</v>
      </c>
      <c r="E45" s="1">
        <v>510.12</v>
      </c>
      <c r="F45" t="s">
        <v>209</v>
      </c>
      <c r="G45">
        <v>-2.3999999999999998E-3</v>
      </c>
    </row>
    <row r="46" spans="1:7" x14ac:dyDescent="0.45">
      <c r="A46" s="4">
        <v>45867</v>
      </c>
      <c r="B46" s="1">
        <v>512.57000000000005</v>
      </c>
      <c r="C46" s="1">
        <v>515.53</v>
      </c>
      <c r="D46" s="1">
        <v>517.62</v>
      </c>
      <c r="E46" s="1">
        <v>511.56</v>
      </c>
      <c r="F46" t="s">
        <v>208</v>
      </c>
      <c r="G46">
        <v>1E-4</v>
      </c>
    </row>
    <row r="47" spans="1:7" x14ac:dyDescent="0.45">
      <c r="A47" s="4">
        <v>45868</v>
      </c>
      <c r="B47" s="1">
        <v>513.24</v>
      </c>
      <c r="C47" s="1">
        <v>515.16999999999996</v>
      </c>
      <c r="D47" s="1">
        <v>515.95000000000005</v>
      </c>
      <c r="E47" s="1">
        <v>509.43</v>
      </c>
      <c r="F47" t="s">
        <v>207</v>
      </c>
      <c r="G47">
        <v>1.2999999999999999E-3</v>
      </c>
    </row>
    <row r="48" spans="1:7" x14ac:dyDescent="0.45">
      <c r="A48" s="4">
        <v>45869</v>
      </c>
      <c r="B48" s="1">
        <v>533.5</v>
      </c>
      <c r="C48" s="1">
        <v>555.22</v>
      </c>
      <c r="D48" s="1">
        <v>555.45000000000005</v>
      </c>
      <c r="E48" s="1">
        <v>531.9</v>
      </c>
      <c r="F48" t="s">
        <v>206</v>
      </c>
      <c r="G48">
        <v>3.95E-2</v>
      </c>
    </row>
    <row r="49" spans="1:7" x14ac:dyDescent="0.45">
      <c r="A49" s="4">
        <v>45870</v>
      </c>
      <c r="B49" s="1">
        <v>524.11</v>
      </c>
      <c r="C49" s="1">
        <v>535</v>
      </c>
      <c r="D49" s="1">
        <v>535.79999999999995</v>
      </c>
      <c r="E49" s="1">
        <v>520.86</v>
      </c>
      <c r="F49" t="s">
        <v>205</v>
      </c>
      <c r="G49">
        <v>-1.7600000000000001E-2</v>
      </c>
    </row>
    <row r="50" spans="1:7" x14ac:dyDescent="0.45">
      <c r="A50" s="4">
        <v>45873</v>
      </c>
      <c r="B50" s="1">
        <v>535.64</v>
      </c>
      <c r="C50" s="1">
        <v>528.27</v>
      </c>
      <c r="D50" s="1">
        <v>538.25</v>
      </c>
      <c r="E50" s="1">
        <v>528.13</v>
      </c>
      <c r="F50" t="s">
        <v>90</v>
      </c>
      <c r="G50">
        <v>2.1999999999999999E-2</v>
      </c>
    </row>
    <row r="51" spans="1:7" x14ac:dyDescent="0.45">
      <c r="A51" s="4">
        <v>45874</v>
      </c>
      <c r="B51" s="1">
        <v>527.75</v>
      </c>
      <c r="C51" s="1">
        <v>537.17999999999995</v>
      </c>
      <c r="D51" s="1">
        <v>537.29999999999995</v>
      </c>
      <c r="E51" s="1">
        <v>527.24</v>
      </c>
      <c r="F51" t="s">
        <v>204</v>
      </c>
      <c r="G51">
        <v>-1.47E-2</v>
      </c>
    </row>
    <row r="52" spans="1:7" x14ac:dyDescent="0.45">
      <c r="A52" s="4">
        <v>45875</v>
      </c>
      <c r="B52" s="1">
        <v>524.94000000000005</v>
      </c>
      <c r="C52" s="1">
        <v>530.9</v>
      </c>
      <c r="D52" s="1">
        <v>531.70000000000005</v>
      </c>
      <c r="E52" s="1">
        <v>524.03</v>
      </c>
      <c r="F52" t="s">
        <v>203</v>
      </c>
      <c r="G52">
        <v>-5.3E-3</v>
      </c>
    </row>
    <row r="53" spans="1:7" x14ac:dyDescent="0.45">
      <c r="A53" s="4">
        <v>45876</v>
      </c>
      <c r="B53" s="1">
        <v>520.84</v>
      </c>
      <c r="C53" s="1">
        <v>526.79999999999995</v>
      </c>
      <c r="D53" s="1">
        <v>528.09</v>
      </c>
      <c r="E53" s="1">
        <v>517.54999999999995</v>
      </c>
      <c r="F53" t="s">
        <v>202</v>
      </c>
      <c r="G53">
        <v>-7.7999999999999996E-3</v>
      </c>
    </row>
    <row r="54" spans="1:7" x14ac:dyDescent="0.45">
      <c r="A54" s="4">
        <v>45877</v>
      </c>
      <c r="B54" s="1">
        <v>522.04</v>
      </c>
      <c r="C54" s="1">
        <v>522.6</v>
      </c>
      <c r="D54" s="1">
        <v>524.66</v>
      </c>
      <c r="E54" s="1">
        <v>519.41</v>
      </c>
      <c r="F54" t="s">
        <v>150</v>
      </c>
      <c r="G54">
        <v>2.3E-3</v>
      </c>
    </row>
    <row r="55" spans="1:7" x14ac:dyDescent="0.45">
      <c r="A55" s="4">
        <v>45880</v>
      </c>
      <c r="B55" s="1">
        <v>521.77</v>
      </c>
      <c r="C55" s="1">
        <v>522.29999999999995</v>
      </c>
      <c r="D55" s="1">
        <v>527.59</v>
      </c>
      <c r="E55" s="1">
        <v>519.72</v>
      </c>
      <c r="F55" t="s">
        <v>201</v>
      </c>
      <c r="G55">
        <v>-5.0000000000000001E-4</v>
      </c>
    </row>
    <row r="56" spans="1:7" x14ac:dyDescent="0.45">
      <c r="A56" s="4">
        <v>45881</v>
      </c>
      <c r="B56" s="1">
        <v>529.24</v>
      </c>
      <c r="C56" s="1">
        <v>523.75</v>
      </c>
      <c r="D56" s="1">
        <v>530.98</v>
      </c>
      <c r="E56" s="1">
        <v>522.70000000000005</v>
      </c>
      <c r="F56" t="s">
        <v>200</v>
      </c>
      <c r="G56">
        <v>1.43E-2</v>
      </c>
    </row>
    <row r="57" spans="1:7" x14ac:dyDescent="0.45">
      <c r="A57" s="4">
        <v>45882</v>
      </c>
      <c r="B57" s="1">
        <v>520.58000000000004</v>
      </c>
      <c r="C57" s="1">
        <v>532.11</v>
      </c>
      <c r="D57" s="1">
        <v>532.70000000000005</v>
      </c>
      <c r="E57" s="1">
        <v>519.37</v>
      </c>
      <c r="F57" t="s">
        <v>199</v>
      </c>
      <c r="G57">
        <v>-1.6400000000000001E-2</v>
      </c>
    </row>
    <row r="58" spans="1:7" x14ac:dyDescent="0.45">
      <c r="A58" s="4">
        <v>45883</v>
      </c>
      <c r="B58" s="1">
        <v>522.48</v>
      </c>
      <c r="C58" s="1">
        <v>522.55999999999995</v>
      </c>
      <c r="D58" s="1">
        <v>525.95000000000005</v>
      </c>
      <c r="E58" s="1">
        <v>520.14</v>
      </c>
      <c r="F58" t="s">
        <v>198</v>
      </c>
      <c r="G58">
        <v>3.5999999999999999E-3</v>
      </c>
    </row>
    <row r="59" spans="1:7" x14ac:dyDescent="0.45">
      <c r="A59" s="4">
        <v>45884</v>
      </c>
      <c r="B59" s="1">
        <v>520.16999999999996</v>
      </c>
      <c r="C59" s="1">
        <v>522.77</v>
      </c>
      <c r="D59" s="1">
        <v>526.1</v>
      </c>
      <c r="E59" s="1">
        <v>519.08000000000004</v>
      </c>
      <c r="F59" t="s">
        <v>197</v>
      </c>
      <c r="G59">
        <v>-4.4000000000000003E-3</v>
      </c>
    </row>
    <row r="60" spans="1:7" x14ac:dyDescent="0.45">
      <c r="A60" s="4">
        <v>45887</v>
      </c>
      <c r="B60" s="1">
        <v>517.1</v>
      </c>
      <c r="C60" s="1">
        <v>521.59</v>
      </c>
      <c r="D60" s="1">
        <v>522.82000000000005</v>
      </c>
      <c r="E60" s="1">
        <v>514.02</v>
      </c>
      <c r="F60" t="s">
        <v>196</v>
      </c>
      <c r="G60">
        <v>-5.8999999999999999E-3</v>
      </c>
    </row>
    <row r="61" spans="1:7" x14ac:dyDescent="0.45">
      <c r="A61" s="4">
        <v>45888</v>
      </c>
      <c r="B61" s="1">
        <v>509.77</v>
      </c>
      <c r="C61" s="1">
        <v>515</v>
      </c>
      <c r="D61" s="1">
        <v>515.16</v>
      </c>
      <c r="E61" s="1">
        <v>508.55</v>
      </c>
      <c r="F61" t="s">
        <v>195</v>
      </c>
      <c r="G61">
        <v>-1.4200000000000001E-2</v>
      </c>
    </row>
    <row r="62" spans="1:7" x14ac:dyDescent="0.45">
      <c r="A62" s="4">
        <v>45889</v>
      </c>
      <c r="B62" s="1">
        <v>505.72</v>
      </c>
      <c r="C62" s="1">
        <v>509.86</v>
      </c>
      <c r="D62" s="1">
        <v>511</v>
      </c>
      <c r="E62" s="1">
        <v>504.44</v>
      </c>
      <c r="F62" t="s">
        <v>194</v>
      </c>
      <c r="G62">
        <v>-7.9000000000000008E-3</v>
      </c>
    </row>
    <row r="63" spans="1:7" x14ac:dyDescent="0.45">
      <c r="A63" s="4">
        <v>45890</v>
      </c>
      <c r="B63" s="1">
        <v>504.24</v>
      </c>
      <c r="C63" s="1">
        <v>503.69</v>
      </c>
      <c r="D63" s="1">
        <v>507.63</v>
      </c>
      <c r="E63" s="1">
        <v>502.72</v>
      </c>
      <c r="F63" t="s">
        <v>193</v>
      </c>
      <c r="G63">
        <v>-2.8999999999999998E-3</v>
      </c>
    </row>
    <row r="64" spans="1:7" x14ac:dyDescent="0.45">
      <c r="A64" s="4">
        <v>45891</v>
      </c>
      <c r="B64" s="1">
        <v>507.23</v>
      </c>
      <c r="C64" s="1">
        <v>504.25</v>
      </c>
      <c r="D64" s="1">
        <v>510.73</v>
      </c>
      <c r="E64" s="1">
        <v>502.41</v>
      </c>
      <c r="F64" t="s">
        <v>192</v>
      </c>
      <c r="G64">
        <v>5.8999999999999999E-3</v>
      </c>
    </row>
    <row r="65" spans="1:7" x14ac:dyDescent="0.45">
      <c r="A65" s="4">
        <v>45894</v>
      </c>
      <c r="B65" s="1">
        <v>504.26</v>
      </c>
      <c r="C65" s="1">
        <v>506.63</v>
      </c>
      <c r="D65" s="1">
        <v>508.19</v>
      </c>
      <c r="E65" s="1">
        <v>504.12</v>
      </c>
      <c r="F65" t="s">
        <v>191</v>
      </c>
      <c r="G65">
        <v>-5.8999999999999999E-3</v>
      </c>
    </row>
    <row r="66" spans="1:7" x14ac:dyDescent="0.45">
      <c r="A66" s="4">
        <v>45895</v>
      </c>
      <c r="B66" s="1">
        <v>502.04</v>
      </c>
      <c r="C66" s="1">
        <v>504.36</v>
      </c>
      <c r="D66" s="1">
        <v>504.98</v>
      </c>
      <c r="E66" s="1">
        <v>498.51</v>
      </c>
      <c r="F66" t="s">
        <v>190</v>
      </c>
      <c r="G66">
        <v>-4.4000000000000003E-3</v>
      </c>
    </row>
    <row r="67" spans="1:7" x14ac:dyDescent="0.45">
      <c r="A67" s="4">
        <v>45896</v>
      </c>
      <c r="B67" s="1">
        <v>506.74</v>
      </c>
      <c r="C67" s="1">
        <v>502</v>
      </c>
      <c r="D67" s="1">
        <v>507.29</v>
      </c>
      <c r="E67" s="1">
        <v>499.9</v>
      </c>
      <c r="F67" t="s">
        <v>189</v>
      </c>
      <c r="G67">
        <v>9.4000000000000004E-3</v>
      </c>
    </row>
    <row r="68" spans="1:7" x14ac:dyDescent="0.45">
      <c r="A68" s="4">
        <v>45897</v>
      </c>
      <c r="B68" s="1">
        <v>509.64</v>
      </c>
      <c r="C68" s="1">
        <v>507.09</v>
      </c>
      <c r="D68" s="1">
        <v>511.09</v>
      </c>
      <c r="E68" s="1">
        <v>505.5</v>
      </c>
      <c r="F68" t="s">
        <v>188</v>
      </c>
      <c r="G68">
        <v>5.7000000000000002E-3</v>
      </c>
    </row>
    <row r="69" spans="1:7" x14ac:dyDescent="0.45">
      <c r="A69" s="4">
        <v>45898</v>
      </c>
      <c r="B69" s="1">
        <v>506.69</v>
      </c>
      <c r="C69" s="1">
        <v>508.66</v>
      </c>
      <c r="D69" s="1">
        <v>509.6</v>
      </c>
      <c r="E69" s="1">
        <v>504.49</v>
      </c>
      <c r="F69" t="s">
        <v>143</v>
      </c>
      <c r="G69">
        <v>-5.7999999999999996E-3</v>
      </c>
    </row>
    <row r="70" spans="1:7" x14ac:dyDescent="0.45">
      <c r="A70" s="4">
        <v>45902</v>
      </c>
      <c r="B70" s="1">
        <v>505.12</v>
      </c>
      <c r="C70" s="1">
        <v>500.46</v>
      </c>
      <c r="D70" s="1">
        <v>506</v>
      </c>
      <c r="E70" s="1">
        <v>496.81</v>
      </c>
      <c r="F70" t="s">
        <v>187</v>
      </c>
      <c r="G70">
        <v>-3.0999999999999999E-3</v>
      </c>
    </row>
    <row r="71" spans="1:7" x14ac:dyDescent="0.45">
      <c r="A71" s="4">
        <v>45903</v>
      </c>
      <c r="B71" s="1">
        <v>505.35</v>
      </c>
      <c r="C71" s="1">
        <v>503.79</v>
      </c>
      <c r="D71" s="1">
        <v>507.79</v>
      </c>
      <c r="E71" s="1">
        <v>502.32</v>
      </c>
      <c r="F71" t="s">
        <v>186</v>
      </c>
      <c r="G71">
        <v>5.0000000000000001E-4</v>
      </c>
    </row>
    <row r="72" spans="1:7" x14ac:dyDescent="0.45">
      <c r="A72" s="4">
        <v>45904</v>
      </c>
      <c r="B72" s="1">
        <v>507.97</v>
      </c>
      <c r="C72" s="1">
        <v>504.3</v>
      </c>
      <c r="D72" s="1">
        <v>508.15</v>
      </c>
      <c r="E72" s="1">
        <v>503.15</v>
      </c>
      <c r="F72" t="s">
        <v>185</v>
      </c>
      <c r="G72">
        <v>5.1999999999999998E-3</v>
      </c>
    </row>
    <row r="73" spans="1:7" x14ac:dyDescent="0.45">
      <c r="A73" s="4">
        <v>45905</v>
      </c>
      <c r="B73" s="1">
        <v>495</v>
      </c>
      <c r="C73" s="1">
        <v>509.07</v>
      </c>
      <c r="D73" s="1">
        <v>511.97</v>
      </c>
      <c r="E73" s="1">
        <v>492.37</v>
      </c>
      <c r="F73" t="s">
        <v>184</v>
      </c>
      <c r="G73">
        <v>-2.5499999999999998E-2</v>
      </c>
    </row>
    <row r="74" spans="1:7" x14ac:dyDescent="0.45">
      <c r="A74" s="4">
        <v>45908</v>
      </c>
      <c r="B74" s="1">
        <v>498.2</v>
      </c>
      <c r="C74" s="1">
        <v>498.11</v>
      </c>
      <c r="D74" s="1">
        <v>501.2</v>
      </c>
      <c r="E74" s="1">
        <v>495.03</v>
      </c>
      <c r="F74" t="s">
        <v>183</v>
      </c>
      <c r="G74">
        <v>6.4999999999999997E-3</v>
      </c>
    </row>
    <row r="75" spans="1:7" x14ac:dyDescent="0.45">
      <c r="A75" s="4">
        <v>45909</v>
      </c>
      <c r="B75" s="1">
        <v>498.41</v>
      </c>
      <c r="C75" s="1">
        <v>501.43</v>
      </c>
      <c r="D75" s="1">
        <v>502.25</v>
      </c>
      <c r="E75" s="1">
        <v>497.7</v>
      </c>
      <c r="F75" t="s">
        <v>182</v>
      </c>
      <c r="G75">
        <v>4.0000000000000002E-4</v>
      </c>
    </row>
    <row r="76" spans="1:7" x14ac:dyDescent="0.45">
      <c r="A76" s="4">
        <v>45910</v>
      </c>
      <c r="B76" s="1">
        <v>500.37</v>
      </c>
      <c r="C76" s="1">
        <v>502.98</v>
      </c>
      <c r="D76" s="1">
        <v>503.23</v>
      </c>
      <c r="E76" s="1">
        <v>496.72</v>
      </c>
      <c r="F76" t="s">
        <v>181</v>
      </c>
      <c r="G76">
        <v>3.8999999999999998E-3</v>
      </c>
    </row>
    <row r="77" spans="1:7" x14ac:dyDescent="0.45">
      <c r="A77" s="4">
        <v>45911</v>
      </c>
      <c r="B77" s="1">
        <v>501.01</v>
      </c>
      <c r="C77" s="1">
        <v>502.25</v>
      </c>
      <c r="D77" s="1">
        <v>503.17</v>
      </c>
      <c r="E77" s="1">
        <v>497.88</v>
      </c>
      <c r="F77" t="s">
        <v>180</v>
      </c>
      <c r="G77">
        <v>1.2999999999999999E-3</v>
      </c>
    </row>
    <row r="78" spans="1:7" x14ac:dyDescent="0.45">
      <c r="A78" s="4">
        <v>45912</v>
      </c>
      <c r="B78" s="1">
        <v>509.9</v>
      </c>
      <c r="C78" s="1">
        <v>506.65</v>
      </c>
      <c r="D78" s="1">
        <v>512.54999999999995</v>
      </c>
      <c r="E78" s="1">
        <v>503.85</v>
      </c>
      <c r="F78" t="s">
        <v>179</v>
      </c>
      <c r="G78">
        <v>1.77E-2</v>
      </c>
    </row>
    <row r="79" spans="1:7" x14ac:dyDescent="0.45">
      <c r="A79" s="4">
        <v>45915</v>
      </c>
      <c r="B79" s="1">
        <v>515.36</v>
      </c>
      <c r="C79" s="1">
        <v>508.79</v>
      </c>
      <c r="D79" s="1">
        <v>515.47</v>
      </c>
      <c r="E79" s="1">
        <v>507</v>
      </c>
      <c r="F79" t="s">
        <v>178</v>
      </c>
      <c r="G79">
        <v>1.0699999999999999E-2</v>
      </c>
    </row>
    <row r="80" spans="1:7" x14ac:dyDescent="0.45">
      <c r="A80" s="4">
        <v>45916</v>
      </c>
      <c r="B80" s="1">
        <v>509.04</v>
      </c>
      <c r="C80" s="1">
        <v>516.88</v>
      </c>
      <c r="D80" s="1">
        <v>517.23</v>
      </c>
      <c r="E80" s="1">
        <v>508.6</v>
      </c>
      <c r="F80" t="s">
        <v>177</v>
      </c>
      <c r="G80">
        <v>-1.23E-2</v>
      </c>
    </row>
    <row r="81" spans="1:7" x14ac:dyDescent="0.45">
      <c r="A81" s="4">
        <v>45917</v>
      </c>
      <c r="B81" s="1">
        <v>510.02</v>
      </c>
      <c r="C81" s="1">
        <v>510.62</v>
      </c>
      <c r="D81" s="1">
        <v>511.29</v>
      </c>
      <c r="E81" s="1">
        <v>505.93</v>
      </c>
      <c r="F81" t="s">
        <v>176</v>
      </c>
      <c r="G81">
        <v>1.9E-3</v>
      </c>
    </row>
    <row r="82" spans="1:7" x14ac:dyDescent="0.45">
      <c r="A82" s="4">
        <v>45918</v>
      </c>
      <c r="B82" s="1">
        <v>508.45</v>
      </c>
      <c r="C82" s="1">
        <v>511.49</v>
      </c>
      <c r="D82" s="1">
        <v>513.07000000000005</v>
      </c>
      <c r="E82" s="1">
        <v>507.66</v>
      </c>
      <c r="F82" t="s">
        <v>175</v>
      </c>
      <c r="G82">
        <v>-3.0999999999999999E-3</v>
      </c>
    </row>
    <row r="83" spans="1:7" x14ac:dyDescent="0.45">
      <c r="A83" s="4">
        <v>45919</v>
      </c>
      <c r="B83" s="1">
        <v>517.92999999999995</v>
      </c>
      <c r="C83" s="1">
        <v>510.56</v>
      </c>
      <c r="D83" s="1">
        <v>519.29999999999995</v>
      </c>
      <c r="E83" s="1">
        <v>510.31</v>
      </c>
      <c r="F83" t="s">
        <v>174</v>
      </c>
      <c r="G83">
        <v>1.8599999999999998E-2</v>
      </c>
    </row>
    <row r="84" spans="1:7" x14ac:dyDescent="0.45">
      <c r="A84" s="4">
        <v>45922</v>
      </c>
      <c r="B84" s="1">
        <v>514.45000000000005</v>
      </c>
      <c r="C84" s="1">
        <v>515.59</v>
      </c>
      <c r="D84" s="1">
        <v>517.74</v>
      </c>
      <c r="E84" s="1">
        <v>512.54</v>
      </c>
      <c r="F84" t="s">
        <v>173</v>
      </c>
      <c r="G84">
        <v>-6.7000000000000002E-3</v>
      </c>
    </row>
    <row r="85" spans="1:7" x14ac:dyDescent="0.45">
      <c r="A85" s="4">
        <v>45923</v>
      </c>
      <c r="B85" s="1">
        <v>509.23</v>
      </c>
      <c r="C85" s="1">
        <v>513.79999999999995</v>
      </c>
      <c r="D85" s="1">
        <v>514.59</v>
      </c>
      <c r="E85" s="1">
        <v>507.31</v>
      </c>
      <c r="F85" t="s">
        <v>172</v>
      </c>
      <c r="G85">
        <v>-1.01E-2</v>
      </c>
    </row>
    <row r="86" spans="1:7" x14ac:dyDescent="0.45">
      <c r="A86" s="4">
        <v>45924</v>
      </c>
      <c r="B86" s="1">
        <v>510.15</v>
      </c>
      <c r="C86" s="1">
        <v>510.38</v>
      </c>
      <c r="D86" s="1">
        <v>512.48</v>
      </c>
      <c r="E86" s="1">
        <v>506.92</v>
      </c>
      <c r="F86" t="s">
        <v>171</v>
      </c>
      <c r="G86">
        <v>1.8E-3</v>
      </c>
    </row>
    <row r="87" spans="1:7" x14ac:dyDescent="0.45">
      <c r="A87" s="4">
        <v>45925</v>
      </c>
      <c r="B87" s="1">
        <v>507.03</v>
      </c>
      <c r="C87" s="1">
        <v>508.3</v>
      </c>
      <c r="D87" s="1">
        <v>510.01</v>
      </c>
      <c r="E87" s="1">
        <v>505.04</v>
      </c>
      <c r="F87" t="s">
        <v>170</v>
      </c>
      <c r="G87">
        <v>-6.1000000000000004E-3</v>
      </c>
    </row>
    <row r="88" spans="1:7" x14ac:dyDescent="0.45">
      <c r="A88" s="4">
        <v>45926</v>
      </c>
      <c r="B88" s="1">
        <v>511.46</v>
      </c>
      <c r="C88" s="1">
        <v>510.06</v>
      </c>
      <c r="D88" s="1">
        <v>513.94000000000005</v>
      </c>
      <c r="E88" s="1">
        <v>506.62</v>
      </c>
      <c r="F88" t="s">
        <v>169</v>
      </c>
      <c r="G88">
        <v>8.6999999999999994E-3</v>
      </c>
    </row>
    <row r="89" spans="1:7" x14ac:dyDescent="0.45">
      <c r="A89" s="4">
        <v>45929</v>
      </c>
      <c r="B89" s="1">
        <v>514.6</v>
      </c>
      <c r="C89" s="1">
        <v>511.5</v>
      </c>
      <c r="D89" s="1">
        <v>516.84</v>
      </c>
      <c r="E89" s="1">
        <v>508.88</v>
      </c>
      <c r="F89" t="s">
        <v>168</v>
      </c>
      <c r="G89">
        <v>6.1000000000000004E-3</v>
      </c>
    </row>
    <row r="90" spans="1:7" x14ac:dyDescent="0.45">
      <c r="A90" s="4">
        <v>45930</v>
      </c>
      <c r="B90" s="1">
        <v>517.95000000000005</v>
      </c>
      <c r="C90" s="1">
        <v>513.24</v>
      </c>
      <c r="D90" s="1">
        <v>518.16</v>
      </c>
      <c r="E90" s="1">
        <v>509.66</v>
      </c>
      <c r="F90" t="s">
        <v>167</v>
      </c>
      <c r="G90">
        <v>6.4999999999999997E-3</v>
      </c>
    </row>
    <row r="91" spans="1:7" x14ac:dyDescent="0.45">
      <c r="A91" s="4">
        <v>45931</v>
      </c>
      <c r="B91" s="1">
        <v>519.71</v>
      </c>
      <c r="C91" s="1">
        <v>514.79999999999995</v>
      </c>
      <c r="D91" s="1">
        <v>520.51</v>
      </c>
      <c r="E91" s="1">
        <v>511.69</v>
      </c>
      <c r="F91" t="s">
        <v>166</v>
      </c>
      <c r="G91">
        <v>3.3999999999999998E-3</v>
      </c>
    </row>
    <row r="92" spans="1:7" x14ac:dyDescent="0.45">
      <c r="A92" s="4">
        <v>45932</v>
      </c>
      <c r="B92" s="1">
        <v>515.74</v>
      </c>
      <c r="C92" s="1">
        <v>517.64</v>
      </c>
      <c r="D92" s="1">
        <v>521.6</v>
      </c>
      <c r="E92" s="1">
        <v>510.68</v>
      </c>
      <c r="F92" t="s">
        <v>165</v>
      </c>
      <c r="G92">
        <v>-7.6E-3</v>
      </c>
    </row>
    <row r="93" spans="1:7" x14ac:dyDescent="0.45">
      <c r="A93" s="4">
        <v>45933</v>
      </c>
      <c r="B93" s="1">
        <v>517.35</v>
      </c>
      <c r="C93" s="1">
        <v>517.1</v>
      </c>
      <c r="D93" s="1">
        <v>520.49</v>
      </c>
      <c r="E93" s="1">
        <v>515</v>
      </c>
      <c r="F93" t="s">
        <v>164</v>
      </c>
      <c r="G93">
        <v>3.0999999999999999E-3</v>
      </c>
    </row>
    <row r="94" spans="1:7" x14ac:dyDescent="0.45">
      <c r="A94" s="4">
        <v>45936</v>
      </c>
      <c r="B94" s="1">
        <v>528.57000000000005</v>
      </c>
      <c r="C94" s="1">
        <v>518.61</v>
      </c>
      <c r="D94" s="1">
        <v>531.03</v>
      </c>
      <c r="E94" s="1">
        <v>518.20000000000005</v>
      </c>
      <c r="F94" t="s">
        <v>163</v>
      </c>
      <c r="G94">
        <v>2.1700000000000001E-2</v>
      </c>
    </row>
    <row r="95" spans="1:7" x14ac:dyDescent="0.45">
      <c r="A95" s="4">
        <v>45937</v>
      </c>
      <c r="B95" s="1">
        <v>523.98</v>
      </c>
      <c r="C95" s="1">
        <v>528.28</v>
      </c>
      <c r="D95" s="1">
        <v>529.79999999999995</v>
      </c>
      <c r="E95" s="1">
        <v>521.44000000000005</v>
      </c>
      <c r="F95" t="s">
        <v>162</v>
      </c>
      <c r="G95">
        <v>-8.6999999999999994E-3</v>
      </c>
    </row>
    <row r="96" spans="1:7" x14ac:dyDescent="0.45">
      <c r="A96" s="4">
        <v>45938</v>
      </c>
      <c r="B96" s="1">
        <v>524.85</v>
      </c>
      <c r="C96" s="1">
        <v>523.28</v>
      </c>
      <c r="D96" s="1">
        <v>526.95000000000005</v>
      </c>
      <c r="E96" s="1">
        <v>523.09</v>
      </c>
      <c r="F96" t="s">
        <v>161</v>
      </c>
      <c r="G96">
        <v>1.6999999999999999E-3</v>
      </c>
    </row>
    <row r="97" spans="1:7" x14ac:dyDescent="0.45">
      <c r="A97" s="4">
        <v>45939</v>
      </c>
      <c r="B97" s="1">
        <v>522.4</v>
      </c>
      <c r="C97" s="1">
        <v>522.34</v>
      </c>
      <c r="D97" s="1">
        <v>524.33000000000004</v>
      </c>
      <c r="E97" s="1">
        <v>517.4</v>
      </c>
      <c r="F97" t="s">
        <v>160</v>
      </c>
      <c r="G97">
        <v>-4.7000000000000002E-3</v>
      </c>
    </row>
    <row r="98" spans="1:7" x14ac:dyDescent="0.45">
      <c r="A98" s="4">
        <v>45940</v>
      </c>
      <c r="B98" s="1">
        <v>510.96</v>
      </c>
      <c r="C98" s="1">
        <v>519.64</v>
      </c>
      <c r="D98" s="1">
        <v>523.58000000000004</v>
      </c>
      <c r="E98" s="1">
        <v>509.63</v>
      </c>
      <c r="F98" t="s">
        <v>159</v>
      </c>
      <c r="G98">
        <v>-2.1899999999999999E-2</v>
      </c>
    </row>
    <row r="99" spans="1:7" x14ac:dyDescent="0.45">
      <c r="A99" s="4">
        <v>45943</v>
      </c>
      <c r="B99" s="1">
        <v>514.04999999999995</v>
      </c>
      <c r="C99" s="1">
        <v>516.41</v>
      </c>
      <c r="D99" s="1">
        <v>516.41</v>
      </c>
      <c r="E99" s="1">
        <v>511.68</v>
      </c>
      <c r="F99" t="s">
        <v>158</v>
      </c>
      <c r="G99">
        <v>6.0000000000000001E-3</v>
      </c>
    </row>
    <row r="100" spans="1:7" x14ac:dyDescent="0.45">
      <c r="A100" s="4">
        <v>45944</v>
      </c>
      <c r="B100" s="1">
        <v>513.57000000000005</v>
      </c>
      <c r="C100" s="1">
        <v>510.23</v>
      </c>
      <c r="D100" s="1">
        <v>515.28</v>
      </c>
      <c r="E100" s="1">
        <v>506</v>
      </c>
      <c r="F100" t="s">
        <v>109</v>
      </c>
      <c r="G100">
        <v>-8.9999999999999998E-4</v>
      </c>
    </row>
    <row r="101" spans="1:7" x14ac:dyDescent="0.45">
      <c r="A101" s="4">
        <v>45945</v>
      </c>
      <c r="B101" s="1">
        <v>513.42999999999995</v>
      </c>
      <c r="C101" s="1">
        <v>514.96</v>
      </c>
      <c r="D101" s="1">
        <v>517.19000000000005</v>
      </c>
      <c r="E101" s="1">
        <v>510</v>
      </c>
      <c r="F101" t="s">
        <v>157</v>
      </c>
      <c r="G101">
        <v>-2.9999999999999997E-4</v>
      </c>
    </row>
    <row r="102" spans="1:7" x14ac:dyDescent="0.45">
      <c r="A102" s="4">
        <v>45946</v>
      </c>
      <c r="B102" s="1">
        <v>511.61</v>
      </c>
      <c r="C102" s="1">
        <v>512.58000000000004</v>
      </c>
      <c r="D102" s="1">
        <v>516.85</v>
      </c>
      <c r="E102" s="1">
        <v>508.13</v>
      </c>
      <c r="F102" t="s">
        <v>156</v>
      </c>
      <c r="G102">
        <v>-3.5000000000000001E-3</v>
      </c>
    </row>
    <row r="103" spans="1:7" x14ac:dyDescent="0.45">
      <c r="A103" s="4">
        <v>45947</v>
      </c>
      <c r="B103" s="1">
        <v>513.58000000000004</v>
      </c>
      <c r="C103" s="1">
        <v>509.04</v>
      </c>
      <c r="D103" s="1">
        <v>515.48</v>
      </c>
      <c r="E103" s="1">
        <v>507.31</v>
      </c>
      <c r="F103" t="s">
        <v>155</v>
      </c>
      <c r="G103">
        <v>3.8999999999999998E-3</v>
      </c>
    </row>
    <row r="104" spans="1:7" x14ac:dyDescent="0.45">
      <c r="A104" s="4">
        <v>45950</v>
      </c>
      <c r="B104" s="1">
        <v>516.79</v>
      </c>
      <c r="C104" s="1">
        <v>514.61</v>
      </c>
      <c r="D104" s="1">
        <v>518.70000000000005</v>
      </c>
      <c r="E104" s="1">
        <v>513.42999999999995</v>
      </c>
      <c r="F104" t="s">
        <v>154</v>
      </c>
      <c r="G104">
        <v>6.3E-3</v>
      </c>
    </row>
    <row r="105" spans="1:7" x14ac:dyDescent="0.45">
      <c r="A105" s="4">
        <v>45951</v>
      </c>
      <c r="B105" s="1">
        <v>517.66</v>
      </c>
      <c r="C105" s="1">
        <v>517.5</v>
      </c>
      <c r="D105" s="1">
        <v>518.69000000000005</v>
      </c>
      <c r="E105" s="1">
        <v>513.04</v>
      </c>
      <c r="F105" t="s">
        <v>153</v>
      </c>
      <c r="G105">
        <v>1.6999999999999999E-3</v>
      </c>
    </row>
    <row r="106" spans="1:7" x14ac:dyDescent="0.45">
      <c r="A106" s="4">
        <v>45952</v>
      </c>
      <c r="B106" s="1">
        <v>520.54</v>
      </c>
      <c r="C106" s="1">
        <v>521.15</v>
      </c>
      <c r="D106" s="1">
        <v>525.23</v>
      </c>
      <c r="E106" s="1">
        <v>517.71</v>
      </c>
      <c r="F106" t="s">
        <v>152</v>
      </c>
      <c r="G106">
        <v>5.5999999999999999E-3</v>
      </c>
    </row>
    <row r="107" spans="1:7" x14ac:dyDescent="0.45">
      <c r="A107" s="4">
        <v>45953</v>
      </c>
      <c r="B107" s="1">
        <v>520.55999999999995</v>
      </c>
      <c r="C107" s="1">
        <v>522.46</v>
      </c>
      <c r="D107" s="1">
        <v>523.95000000000005</v>
      </c>
      <c r="E107" s="1">
        <v>518.61</v>
      </c>
      <c r="F107" t="s">
        <v>151</v>
      </c>
      <c r="G107">
        <v>0</v>
      </c>
    </row>
    <row r="108" spans="1:7" x14ac:dyDescent="0.45">
      <c r="A108" s="4">
        <v>45954</v>
      </c>
      <c r="B108" s="1">
        <v>523.61</v>
      </c>
      <c r="C108" s="1">
        <v>522.79</v>
      </c>
      <c r="D108" s="1">
        <v>525.34</v>
      </c>
      <c r="E108" s="1">
        <v>520.71</v>
      </c>
      <c r="F108" t="s">
        <v>150</v>
      </c>
      <c r="G108">
        <v>5.8999999999999999E-3</v>
      </c>
    </row>
    <row r="109" spans="1:7" x14ac:dyDescent="0.45">
      <c r="A109" s="4">
        <v>45957</v>
      </c>
      <c r="B109" s="1">
        <v>531.52</v>
      </c>
      <c r="C109" s="1">
        <v>531.78</v>
      </c>
      <c r="D109" s="1">
        <v>534.58000000000004</v>
      </c>
      <c r="E109" s="1">
        <v>529.01</v>
      </c>
      <c r="F109" t="s">
        <v>149</v>
      </c>
      <c r="G109">
        <v>1.5100000000000001E-2</v>
      </c>
    </row>
    <row r="110" spans="1:7" x14ac:dyDescent="0.45">
      <c r="A110" s="4">
        <v>45958</v>
      </c>
      <c r="B110" s="1">
        <v>542.07000000000005</v>
      </c>
      <c r="C110" s="1">
        <v>550</v>
      </c>
      <c r="D110" s="1">
        <v>553.72</v>
      </c>
      <c r="E110" s="1">
        <v>540.77</v>
      </c>
      <c r="F110" t="s">
        <v>148</v>
      </c>
      <c r="G110">
        <v>1.9800000000000002E-2</v>
      </c>
    </row>
    <row r="111" spans="1:7" x14ac:dyDescent="0.45">
      <c r="A111" s="4">
        <v>45959</v>
      </c>
      <c r="B111" s="1">
        <v>541.54999999999995</v>
      </c>
      <c r="C111" s="1">
        <v>544.94000000000005</v>
      </c>
      <c r="D111" s="1">
        <v>546.27</v>
      </c>
      <c r="E111" s="1">
        <v>536.73</v>
      </c>
      <c r="F111" t="s">
        <v>147</v>
      </c>
      <c r="G111">
        <v>-1E-3</v>
      </c>
    </row>
    <row r="112" spans="1:7" x14ac:dyDescent="0.45">
      <c r="A112" s="4">
        <v>45960</v>
      </c>
      <c r="B112" s="1">
        <v>525.76</v>
      </c>
      <c r="C112" s="1">
        <v>530.48</v>
      </c>
      <c r="D112" s="1">
        <v>534.97</v>
      </c>
      <c r="E112" s="1">
        <v>522.12</v>
      </c>
      <c r="F112" t="s">
        <v>146</v>
      </c>
      <c r="G112">
        <v>-2.92E-2</v>
      </c>
    </row>
    <row r="113" spans="1:7" x14ac:dyDescent="0.45">
      <c r="A113" s="4">
        <v>45961</v>
      </c>
      <c r="B113" s="1">
        <v>517.80999999999995</v>
      </c>
      <c r="C113" s="1">
        <v>528.88</v>
      </c>
      <c r="D113" s="1">
        <v>529.32000000000005</v>
      </c>
      <c r="E113" s="1">
        <v>515.1</v>
      </c>
      <c r="F113" t="s">
        <v>145</v>
      </c>
      <c r="G113">
        <v>-1.5100000000000001E-2</v>
      </c>
    </row>
    <row r="114" spans="1:7" x14ac:dyDescent="0.45">
      <c r="A114" s="4">
        <v>45964</v>
      </c>
      <c r="B114" s="1">
        <v>517.03</v>
      </c>
      <c r="C114" s="1">
        <v>519.79999999999995</v>
      </c>
      <c r="D114" s="1">
        <v>524.96</v>
      </c>
      <c r="E114" s="1">
        <v>514.59</v>
      </c>
      <c r="F114" t="s">
        <v>144</v>
      </c>
      <c r="G114">
        <v>-1.5E-3</v>
      </c>
    </row>
    <row r="115" spans="1:7" x14ac:dyDescent="0.45">
      <c r="A115" s="4">
        <v>45965</v>
      </c>
      <c r="B115" s="1">
        <v>514.33000000000004</v>
      </c>
      <c r="C115" s="1">
        <v>511.76</v>
      </c>
      <c r="D115" s="1">
        <v>515.54999999999995</v>
      </c>
      <c r="E115" s="1">
        <v>507.84</v>
      </c>
      <c r="F115" t="s">
        <v>143</v>
      </c>
      <c r="G115">
        <v>-5.1999999999999998E-3</v>
      </c>
    </row>
    <row r="116" spans="1:7" x14ac:dyDescent="0.45">
      <c r="A116" s="4">
        <v>45966</v>
      </c>
      <c r="B116" s="1">
        <v>507.16</v>
      </c>
      <c r="C116" s="1">
        <v>513.29999999999995</v>
      </c>
      <c r="D116" s="1">
        <v>514.83000000000004</v>
      </c>
      <c r="E116" s="1">
        <v>506.58</v>
      </c>
      <c r="F116" t="s">
        <v>142</v>
      </c>
      <c r="G116">
        <v>-1.3899999999999999E-2</v>
      </c>
    </row>
    <row r="117" spans="1:7" x14ac:dyDescent="0.45">
      <c r="A117" s="4">
        <v>45967</v>
      </c>
      <c r="B117" s="1">
        <v>497.1</v>
      </c>
      <c r="C117" s="1">
        <v>505.66</v>
      </c>
      <c r="D117" s="1">
        <v>505.7</v>
      </c>
      <c r="E117" s="1">
        <v>495.81</v>
      </c>
      <c r="F117" t="s">
        <v>141</v>
      </c>
      <c r="G117">
        <v>-1.9800000000000002E-2</v>
      </c>
    </row>
    <row r="118" spans="1:7" x14ac:dyDescent="0.45">
      <c r="A118" s="4">
        <v>45968</v>
      </c>
      <c r="B118" s="1">
        <v>496.82</v>
      </c>
      <c r="C118" s="1">
        <v>496.95</v>
      </c>
      <c r="D118" s="1">
        <v>499.38</v>
      </c>
      <c r="E118" s="1">
        <v>493.25</v>
      </c>
      <c r="F118" t="s">
        <v>140</v>
      </c>
      <c r="G118">
        <v>-5.9999999999999995E-4</v>
      </c>
    </row>
    <row r="119" spans="1:7" x14ac:dyDescent="0.45">
      <c r="A119" s="4">
        <v>45971</v>
      </c>
      <c r="B119" s="1">
        <v>506</v>
      </c>
      <c r="C119" s="1">
        <v>500.04</v>
      </c>
      <c r="D119" s="1">
        <v>506.85</v>
      </c>
      <c r="E119" s="1">
        <v>498.8</v>
      </c>
      <c r="F119" t="s">
        <v>139</v>
      </c>
      <c r="G119">
        <v>1.8499999999999999E-2</v>
      </c>
    </row>
    <row r="120" spans="1:7" x14ac:dyDescent="0.45">
      <c r="A120" s="4">
        <v>45972</v>
      </c>
      <c r="B120" s="1">
        <v>508.68</v>
      </c>
      <c r="C120" s="1">
        <v>504.8</v>
      </c>
      <c r="D120" s="1">
        <v>509.6</v>
      </c>
      <c r="E120" s="1">
        <v>502.35</v>
      </c>
      <c r="F120" t="s">
        <v>138</v>
      </c>
      <c r="G120">
        <v>5.3E-3</v>
      </c>
    </row>
    <row r="121" spans="1:7" x14ac:dyDescent="0.45">
      <c r="A121" s="4">
        <v>45973</v>
      </c>
      <c r="B121" s="1">
        <v>511.14</v>
      </c>
      <c r="C121" s="1">
        <v>509.36</v>
      </c>
      <c r="D121" s="1">
        <v>511.67</v>
      </c>
      <c r="E121" s="1">
        <v>499.12</v>
      </c>
      <c r="F121" t="s">
        <v>137</v>
      </c>
      <c r="G121">
        <v>4.7999999999999996E-3</v>
      </c>
    </row>
    <row r="122" spans="1:7" x14ac:dyDescent="0.45">
      <c r="A122" s="4">
        <v>45974</v>
      </c>
      <c r="B122" s="1">
        <v>503.29</v>
      </c>
      <c r="C122" s="1">
        <v>510.31</v>
      </c>
      <c r="D122" s="1">
        <v>513.5</v>
      </c>
      <c r="E122" s="1">
        <v>501.29</v>
      </c>
      <c r="F122" t="s">
        <v>136</v>
      </c>
      <c r="G122">
        <v>-1.54E-2</v>
      </c>
    </row>
    <row r="123" spans="1:7" x14ac:dyDescent="0.45">
      <c r="A123" s="4">
        <v>45975</v>
      </c>
      <c r="B123" s="1">
        <v>510.18</v>
      </c>
      <c r="C123" s="1">
        <v>498.23</v>
      </c>
      <c r="D123" s="1">
        <v>511.6</v>
      </c>
      <c r="E123" s="1">
        <v>497.44</v>
      </c>
      <c r="F123" t="s">
        <v>135</v>
      </c>
      <c r="G123">
        <v>1.37E-2</v>
      </c>
    </row>
    <row r="124" spans="1:7" x14ac:dyDescent="0.45">
      <c r="A124" s="4">
        <v>45978</v>
      </c>
      <c r="B124" s="1">
        <v>507.49</v>
      </c>
      <c r="C124" s="1">
        <v>508.45</v>
      </c>
      <c r="D124" s="1">
        <v>512.12</v>
      </c>
      <c r="E124" s="1">
        <v>504.91</v>
      </c>
      <c r="F124" t="s">
        <v>134</v>
      </c>
      <c r="G124">
        <v>-5.3E-3</v>
      </c>
    </row>
    <row r="125" spans="1:7" x14ac:dyDescent="0.45">
      <c r="A125" s="4">
        <v>45979</v>
      </c>
      <c r="B125" s="1">
        <v>493.79</v>
      </c>
      <c r="C125" s="1">
        <v>495.36</v>
      </c>
      <c r="D125" s="1">
        <v>502.98</v>
      </c>
      <c r="E125" s="1">
        <v>486.78</v>
      </c>
      <c r="F125" t="s">
        <v>133</v>
      </c>
      <c r="G125">
        <v>-2.7E-2</v>
      </c>
    </row>
    <row r="126" spans="1:7" x14ac:dyDescent="0.45">
      <c r="A126" s="4">
        <v>45980</v>
      </c>
      <c r="B126" s="1">
        <v>487.12</v>
      </c>
      <c r="C126" s="1">
        <v>490.1</v>
      </c>
      <c r="D126" s="1">
        <v>495.19</v>
      </c>
      <c r="E126" s="1">
        <v>482.83</v>
      </c>
      <c r="F126" t="s">
        <v>132</v>
      </c>
      <c r="G126">
        <v>-1.35E-2</v>
      </c>
    </row>
    <row r="127" spans="1:7" x14ac:dyDescent="0.45">
      <c r="A127" s="4">
        <v>45981</v>
      </c>
      <c r="B127" s="1">
        <v>478.43</v>
      </c>
      <c r="C127" s="1">
        <v>492.71</v>
      </c>
      <c r="D127" s="1">
        <v>493.57</v>
      </c>
      <c r="E127" s="1">
        <v>475.5</v>
      </c>
      <c r="F127" t="s">
        <v>131</v>
      </c>
      <c r="G127">
        <v>-1.78E-2</v>
      </c>
    </row>
    <row r="128" spans="1:7" x14ac:dyDescent="0.45">
      <c r="A128" s="4">
        <v>45982</v>
      </c>
      <c r="B128" s="1">
        <v>472.12</v>
      </c>
      <c r="C128" s="1">
        <v>478.5</v>
      </c>
      <c r="D128" s="1">
        <v>478.92</v>
      </c>
      <c r="E128" s="1">
        <v>468.27</v>
      </c>
      <c r="F128" t="s">
        <v>130</v>
      </c>
      <c r="G128">
        <v>-1.32E-2</v>
      </c>
    </row>
    <row r="129" spans="1:7" x14ac:dyDescent="0.45">
      <c r="A129" s="4">
        <v>45985</v>
      </c>
      <c r="B129" s="1">
        <v>474</v>
      </c>
      <c r="C129" s="1">
        <v>475</v>
      </c>
      <c r="D129" s="1">
        <v>476.9</v>
      </c>
      <c r="E129" s="1">
        <v>468.02</v>
      </c>
      <c r="F129" t="s">
        <v>129</v>
      </c>
      <c r="G129">
        <v>4.0000000000000001E-3</v>
      </c>
    </row>
    <row r="130" spans="1:7" x14ac:dyDescent="0.45">
      <c r="A130" s="4">
        <v>45986</v>
      </c>
      <c r="B130" s="1">
        <v>476.99</v>
      </c>
      <c r="C130" s="1">
        <v>474.07</v>
      </c>
      <c r="D130" s="1">
        <v>479.15</v>
      </c>
      <c r="E130" s="1">
        <v>464.89</v>
      </c>
      <c r="F130" t="s">
        <v>128</v>
      </c>
      <c r="G130">
        <v>6.3E-3</v>
      </c>
    </row>
    <row r="131" spans="1:7" x14ac:dyDescent="0.45">
      <c r="A131" s="4">
        <v>45987</v>
      </c>
      <c r="B131" s="1">
        <v>485.5</v>
      </c>
      <c r="C131" s="1">
        <v>486.31</v>
      </c>
      <c r="D131" s="1">
        <v>488.31</v>
      </c>
      <c r="E131" s="1">
        <v>481.2</v>
      </c>
      <c r="F131" t="s">
        <v>127</v>
      </c>
      <c r="G131">
        <v>1.78E-2</v>
      </c>
    </row>
    <row r="132" spans="1:7" x14ac:dyDescent="0.45">
      <c r="A132" s="4">
        <v>45989</v>
      </c>
      <c r="B132" s="1">
        <v>492.01</v>
      </c>
      <c r="C132" s="1">
        <v>487.6</v>
      </c>
      <c r="D132" s="1">
        <v>492.63</v>
      </c>
      <c r="E132" s="1">
        <v>486.65</v>
      </c>
      <c r="F132" t="s">
        <v>126</v>
      </c>
      <c r="G132">
        <v>1.34E-2</v>
      </c>
    </row>
    <row r="133" spans="1:7" x14ac:dyDescent="0.45">
      <c r="A133" s="4">
        <v>45992</v>
      </c>
      <c r="B133" s="1">
        <v>486.74</v>
      </c>
      <c r="C133" s="1">
        <v>488.43</v>
      </c>
      <c r="D133" s="1">
        <v>489.86</v>
      </c>
      <c r="E133" s="1">
        <v>484.65</v>
      </c>
      <c r="F133" t="s">
        <v>125</v>
      </c>
      <c r="G133">
        <v>-1.0699999999999999E-2</v>
      </c>
    </row>
    <row r="134" spans="1:7" x14ac:dyDescent="0.45">
      <c r="A134" s="4">
        <v>45993</v>
      </c>
      <c r="B134" s="1">
        <v>490</v>
      </c>
      <c r="C134" s="1">
        <v>486.71</v>
      </c>
      <c r="D134" s="1">
        <v>493.5</v>
      </c>
      <c r="E134" s="1">
        <v>486.32</v>
      </c>
      <c r="F134" t="s">
        <v>124</v>
      </c>
      <c r="G134">
        <v>6.7000000000000002E-3</v>
      </c>
    </row>
    <row r="135" spans="1:7" x14ac:dyDescent="0.45">
      <c r="A135" s="4">
        <v>45994</v>
      </c>
      <c r="B135" s="1">
        <v>477.73</v>
      </c>
      <c r="C135" s="1">
        <v>476.32</v>
      </c>
      <c r="D135" s="1">
        <v>484.24</v>
      </c>
      <c r="E135" s="1">
        <v>475.2</v>
      </c>
      <c r="F135" t="s">
        <v>123</v>
      </c>
      <c r="G135">
        <v>-2.5000000000000001E-2</v>
      </c>
    </row>
    <row r="136" spans="1:7" x14ac:dyDescent="0.45">
      <c r="A136" s="4">
        <v>45995</v>
      </c>
      <c r="B136" s="1">
        <v>480.84</v>
      </c>
      <c r="C136" s="1">
        <v>479.76</v>
      </c>
      <c r="D136" s="1">
        <v>481.32</v>
      </c>
      <c r="E136" s="1">
        <v>476.49</v>
      </c>
      <c r="F136" t="s">
        <v>122</v>
      </c>
      <c r="G136">
        <v>6.4999999999999997E-3</v>
      </c>
    </row>
    <row r="137" spans="1:7" x14ac:dyDescent="0.45">
      <c r="A137" s="4">
        <v>45996</v>
      </c>
      <c r="B137" s="1">
        <v>483.16</v>
      </c>
      <c r="C137" s="1">
        <v>482.52</v>
      </c>
      <c r="D137" s="1">
        <v>483.4</v>
      </c>
      <c r="E137" s="1">
        <v>478.88</v>
      </c>
      <c r="F137" t="s">
        <v>121</v>
      </c>
      <c r="G137">
        <v>4.7999999999999996E-3</v>
      </c>
    </row>
    <row r="138" spans="1:7" x14ac:dyDescent="0.45">
      <c r="A138" s="4">
        <v>45999</v>
      </c>
      <c r="B138" s="1">
        <v>491.02</v>
      </c>
      <c r="C138" s="1">
        <v>484.89</v>
      </c>
      <c r="D138" s="1">
        <v>492.3</v>
      </c>
      <c r="E138" s="1">
        <v>484.38</v>
      </c>
      <c r="F138" t="s">
        <v>120</v>
      </c>
      <c r="G138">
        <v>1.6299999999999999E-2</v>
      </c>
    </row>
    <row r="139" spans="1:7" x14ac:dyDescent="0.45">
      <c r="A139" s="4">
        <v>46000</v>
      </c>
      <c r="B139" s="1">
        <v>492.02</v>
      </c>
      <c r="C139" s="1">
        <v>489.1</v>
      </c>
      <c r="D139" s="1">
        <v>492.12</v>
      </c>
      <c r="E139" s="1">
        <v>488.5</v>
      </c>
      <c r="F139" t="s">
        <v>119</v>
      </c>
      <c r="G139">
        <v>2E-3</v>
      </c>
    </row>
    <row r="140" spans="1:7" x14ac:dyDescent="0.45">
      <c r="A140" s="4">
        <v>46001</v>
      </c>
      <c r="B140" s="1">
        <v>478.56</v>
      </c>
      <c r="C140" s="1">
        <v>484.03</v>
      </c>
      <c r="D140" s="1">
        <v>484.25</v>
      </c>
      <c r="E140" s="1">
        <v>475.08</v>
      </c>
      <c r="F140" t="s">
        <v>118</v>
      </c>
      <c r="G140">
        <v>-2.7400000000000001E-2</v>
      </c>
    </row>
    <row r="141" spans="1:7" x14ac:dyDescent="0.45">
      <c r="A141" s="4">
        <v>46002</v>
      </c>
      <c r="B141" s="1">
        <v>483.47</v>
      </c>
      <c r="C141" s="1">
        <v>476.63</v>
      </c>
      <c r="D141" s="1">
        <v>486.03</v>
      </c>
      <c r="E141" s="1">
        <v>475.86</v>
      </c>
      <c r="F141" t="s">
        <v>117</v>
      </c>
      <c r="G141">
        <v>1.03E-2</v>
      </c>
    </row>
    <row r="142" spans="1:7" x14ac:dyDescent="0.45">
      <c r="A142" s="4">
        <v>46003</v>
      </c>
      <c r="B142" s="1">
        <v>478.53</v>
      </c>
      <c r="C142" s="1">
        <v>479.82</v>
      </c>
      <c r="D142" s="1">
        <v>482.45</v>
      </c>
      <c r="E142" s="1">
        <v>476.34</v>
      </c>
      <c r="F142" t="s">
        <v>116</v>
      </c>
      <c r="G142">
        <v>-1.0200000000000001E-2</v>
      </c>
    </row>
    <row r="143" spans="1:7" x14ac:dyDescent="0.45">
      <c r="A143" s="4">
        <v>46006</v>
      </c>
      <c r="B143" s="1">
        <v>474.82</v>
      </c>
      <c r="C143" s="1">
        <v>480.1</v>
      </c>
      <c r="D143" s="1">
        <v>480.72</v>
      </c>
      <c r="E143" s="1">
        <v>472.52</v>
      </c>
      <c r="F143" t="s">
        <v>115</v>
      </c>
      <c r="G143">
        <v>-7.7999999999999996E-3</v>
      </c>
    </row>
    <row r="144" spans="1:7" x14ac:dyDescent="0.45">
      <c r="A144" s="4">
        <v>46007</v>
      </c>
      <c r="B144" s="1">
        <v>476.39</v>
      </c>
      <c r="C144" s="1">
        <v>471.9</v>
      </c>
      <c r="D144" s="1">
        <v>477.89</v>
      </c>
      <c r="E144" s="1">
        <v>470.88</v>
      </c>
      <c r="F144" t="s">
        <v>114</v>
      </c>
      <c r="G144">
        <v>3.3E-3</v>
      </c>
    </row>
    <row r="145" spans="1:7" x14ac:dyDescent="0.45">
      <c r="A145" s="4">
        <v>46008</v>
      </c>
      <c r="B145" s="1">
        <v>476.12</v>
      </c>
      <c r="C145" s="1">
        <v>476.9</v>
      </c>
      <c r="D145" s="1">
        <v>480</v>
      </c>
      <c r="E145" s="1">
        <v>475</v>
      </c>
      <c r="F145" t="s">
        <v>113</v>
      </c>
      <c r="G145">
        <v>-5.9999999999999995E-4</v>
      </c>
    </row>
    <row r="146" spans="1:7" x14ac:dyDescent="0.45">
      <c r="A146" s="4">
        <v>46009</v>
      </c>
      <c r="B146" s="1">
        <v>483.98</v>
      </c>
      <c r="C146" s="1">
        <v>478.19</v>
      </c>
      <c r="D146" s="1">
        <v>489.6</v>
      </c>
      <c r="E146" s="1">
        <v>477.89</v>
      </c>
      <c r="F146" t="s">
        <v>112</v>
      </c>
      <c r="G146">
        <v>1.6500000000000001E-2</v>
      </c>
    </row>
    <row r="147" spans="1:7" x14ac:dyDescent="0.45">
      <c r="A147" s="4">
        <v>46010</v>
      </c>
      <c r="B147" s="1">
        <v>485.92</v>
      </c>
      <c r="C147" s="1">
        <v>487.36</v>
      </c>
      <c r="D147" s="1">
        <v>487.85</v>
      </c>
      <c r="E147" s="1">
        <v>482.49</v>
      </c>
      <c r="F147" t="s">
        <v>111</v>
      </c>
      <c r="G147">
        <v>4.0000000000000001E-3</v>
      </c>
    </row>
    <row r="148" spans="1:7" x14ac:dyDescent="0.45">
      <c r="A148" s="4">
        <v>46013</v>
      </c>
      <c r="B148" s="1">
        <v>484.92</v>
      </c>
      <c r="C148" s="1">
        <v>486.12</v>
      </c>
      <c r="D148" s="1">
        <v>488.73</v>
      </c>
      <c r="E148" s="1">
        <v>482.69</v>
      </c>
      <c r="F148" t="s">
        <v>110</v>
      </c>
      <c r="G148">
        <v>-2.0999999999999999E-3</v>
      </c>
    </row>
    <row r="149" spans="1:7" x14ac:dyDescent="0.45">
      <c r="A149" s="4">
        <v>46014</v>
      </c>
      <c r="B149" s="1">
        <v>486.85</v>
      </c>
      <c r="C149" s="1">
        <v>484.98</v>
      </c>
      <c r="D149" s="1">
        <v>487.83</v>
      </c>
      <c r="E149" s="1">
        <v>484.74</v>
      </c>
      <c r="F149" t="s">
        <v>109</v>
      </c>
      <c r="G149">
        <v>4.0000000000000001E-3</v>
      </c>
    </row>
    <row r="150" spans="1:7" x14ac:dyDescent="0.45">
      <c r="A150" s="4">
        <v>46015</v>
      </c>
      <c r="B150" s="1">
        <v>488.02</v>
      </c>
      <c r="C150" s="1">
        <v>485.68</v>
      </c>
      <c r="D150" s="1">
        <v>489.16</v>
      </c>
      <c r="E150" s="1">
        <v>484.83</v>
      </c>
      <c r="F150" t="s">
        <v>108</v>
      </c>
      <c r="G150">
        <v>2.3999999999999998E-3</v>
      </c>
    </row>
    <row r="151" spans="1:7" x14ac:dyDescent="0.45">
      <c r="A151" s="4">
        <v>46017</v>
      </c>
      <c r="B151" s="1">
        <v>487.71</v>
      </c>
      <c r="C151" s="1">
        <v>486.7</v>
      </c>
      <c r="D151" s="1">
        <v>488.12</v>
      </c>
      <c r="E151" s="1">
        <v>485.96</v>
      </c>
      <c r="F151" t="s">
        <v>107</v>
      </c>
      <c r="G151">
        <v>-5.9999999999999995E-4</v>
      </c>
    </row>
    <row r="152" spans="1:7" x14ac:dyDescent="0.45">
      <c r="A152" s="4">
        <v>46020</v>
      </c>
      <c r="B152" s="1">
        <v>487.1</v>
      </c>
      <c r="C152" s="1">
        <v>484.86</v>
      </c>
      <c r="D152" s="1">
        <v>488.35</v>
      </c>
      <c r="E152" s="1">
        <v>484.18</v>
      </c>
      <c r="F152" t="s">
        <v>106</v>
      </c>
      <c r="G152">
        <v>-1.2999999999999999E-3</v>
      </c>
    </row>
    <row r="153" spans="1:7" x14ac:dyDescent="0.45">
      <c r="A153" s="4">
        <v>46021</v>
      </c>
      <c r="B153" s="1">
        <v>487.48</v>
      </c>
      <c r="C153" s="1">
        <v>485.93</v>
      </c>
      <c r="D153" s="1">
        <v>489.68</v>
      </c>
      <c r="E153" s="1">
        <v>485.5</v>
      </c>
      <c r="F153" t="s">
        <v>105</v>
      </c>
      <c r="G153">
        <v>8.0000000000000004E-4</v>
      </c>
    </row>
    <row r="154" spans="1:7" x14ac:dyDescent="0.45">
      <c r="A154" s="4">
        <v>46022</v>
      </c>
      <c r="B154" s="1">
        <v>483.62</v>
      </c>
      <c r="C154" s="1">
        <v>487.84</v>
      </c>
      <c r="D154" s="1">
        <v>488.14</v>
      </c>
      <c r="E154" s="1">
        <v>483.3</v>
      </c>
      <c r="F154" t="s">
        <v>104</v>
      </c>
      <c r="G154">
        <v>-7.9000000000000008E-3</v>
      </c>
    </row>
    <row r="155" spans="1:7" x14ac:dyDescent="0.45">
      <c r="A155" s="4">
        <v>46024</v>
      </c>
      <c r="B155" s="1">
        <v>472.94</v>
      </c>
      <c r="C155" s="1">
        <v>484.39</v>
      </c>
      <c r="D155" s="1">
        <v>484.66</v>
      </c>
      <c r="E155" s="1">
        <v>470.16</v>
      </c>
      <c r="F155" t="s">
        <v>103</v>
      </c>
      <c r="G155">
        <v>-2.2100000000000002E-2</v>
      </c>
    </row>
    <row r="156" spans="1:7" x14ac:dyDescent="0.45">
      <c r="A156" s="4">
        <v>46027</v>
      </c>
      <c r="B156" s="1">
        <v>472.85</v>
      </c>
      <c r="C156" s="1">
        <v>474.05</v>
      </c>
      <c r="D156" s="1">
        <v>476.07</v>
      </c>
      <c r="E156" s="1">
        <v>469.5</v>
      </c>
      <c r="F156" t="s">
        <v>102</v>
      </c>
      <c r="G156">
        <v>-2.0000000000000001E-4</v>
      </c>
    </row>
    <row r="157" spans="1:7" x14ac:dyDescent="0.45">
      <c r="A157" s="4">
        <v>46028</v>
      </c>
      <c r="B157" s="1">
        <v>478.51</v>
      </c>
      <c r="C157" s="1">
        <v>473.8</v>
      </c>
      <c r="D157" s="1">
        <v>478.74</v>
      </c>
      <c r="E157" s="1">
        <v>469.75</v>
      </c>
      <c r="F157" t="s">
        <v>101</v>
      </c>
      <c r="G157">
        <v>1.2E-2</v>
      </c>
    </row>
    <row r="158" spans="1:7" x14ac:dyDescent="0.45">
      <c r="A158" s="4">
        <v>46029</v>
      </c>
      <c r="B158" s="1">
        <v>483.47</v>
      </c>
      <c r="C158" s="1">
        <v>479.76</v>
      </c>
      <c r="D158" s="1">
        <v>489.7</v>
      </c>
      <c r="E158" s="1">
        <v>477.95</v>
      </c>
      <c r="F158" t="s">
        <v>100</v>
      </c>
      <c r="G158">
        <v>1.04E-2</v>
      </c>
    </row>
    <row r="159" spans="1:7" x14ac:dyDescent="0.45">
      <c r="A159" s="4">
        <v>46030</v>
      </c>
      <c r="B159" s="1">
        <v>478.11</v>
      </c>
      <c r="C159" s="1">
        <v>481.24</v>
      </c>
      <c r="D159" s="1">
        <v>482.66</v>
      </c>
      <c r="E159" s="1">
        <v>475.86</v>
      </c>
      <c r="F159" t="s">
        <v>99</v>
      </c>
      <c r="G159">
        <v>-1.11E-2</v>
      </c>
    </row>
    <row r="160" spans="1:7" x14ac:dyDescent="0.45">
      <c r="A160" s="4">
        <v>46031</v>
      </c>
      <c r="B160" s="1">
        <v>479.28</v>
      </c>
      <c r="C160" s="1">
        <v>474.06</v>
      </c>
      <c r="D160" s="1">
        <v>479.82</v>
      </c>
      <c r="E160" s="1">
        <v>472.2</v>
      </c>
      <c r="F160" t="s">
        <v>98</v>
      </c>
      <c r="G160">
        <v>2.3999999999999998E-3</v>
      </c>
    </row>
    <row r="161" spans="1:7" x14ac:dyDescent="0.45">
      <c r="A161" s="4">
        <v>46034</v>
      </c>
      <c r="B161" s="1">
        <v>477.18</v>
      </c>
      <c r="C161" s="1">
        <v>476.67</v>
      </c>
      <c r="D161" s="1">
        <v>480.99</v>
      </c>
      <c r="E161" s="1">
        <v>475.68</v>
      </c>
      <c r="F161" t="s">
        <v>97</v>
      </c>
      <c r="G161">
        <v>-4.4000000000000003E-3</v>
      </c>
    </row>
    <row r="162" spans="1:7" x14ac:dyDescent="0.45">
      <c r="A162" s="4">
        <v>46035</v>
      </c>
      <c r="B162" s="1">
        <v>470.67</v>
      </c>
      <c r="C162" s="1">
        <v>474.67</v>
      </c>
      <c r="D162" s="1">
        <v>475.78</v>
      </c>
      <c r="E162" s="1">
        <v>465.95</v>
      </c>
      <c r="F162" t="s">
        <v>96</v>
      </c>
      <c r="G162">
        <v>-1.3599999999999999E-2</v>
      </c>
    </row>
    <row r="163" spans="1:7" x14ac:dyDescent="0.45">
      <c r="A163" s="4">
        <v>46036</v>
      </c>
      <c r="B163" s="1">
        <v>459.38</v>
      </c>
      <c r="C163" s="1">
        <v>466.46</v>
      </c>
      <c r="D163" s="1">
        <v>468.2</v>
      </c>
      <c r="E163" s="1">
        <v>457.17</v>
      </c>
      <c r="F163" t="s">
        <v>95</v>
      </c>
      <c r="G163">
        <v>-2.4E-2</v>
      </c>
    </row>
    <row r="164" spans="1:7" x14ac:dyDescent="0.45">
      <c r="A164" s="4">
        <v>46037</v>
      </c>
      <c r="B164" s="1">
        <v>456.66</v>
      </c>
      <c r="C164" s="1">
        <v>464.12</v>
      </c>
      <c r="D164" s="1">
        <v>464.25</v>
      </c>
      <c r="E164" s="1">
        <v>455.9</v>
      </c>
      <c r="F164" t="s">
        <v>94</v>
      </c>
      <c r="G164">
        <v>-5.8999999999999999E-3</v>
      </c>
    </row>
    <row r="165" spans="1:7" x14ac:dyDescent="0.45">
      <c r="A165" s="4">
        <v>46038</v>
      </c>
      <c r="B165" s="1">
        <v>459.86</v>
      </c>
      <c r="C165" s="1">
        <v>457.83</v>
      </c>
      <c r="D165" s="1">
        <v>463.19</v>
      </c>
      <c r="E165" s="1">
        <v>456.48</v>
      </c>
      <c r="F165" t="s">
        <v>93</v>
      </c>
      <c r="G165">
        <v>7.0000000000000001E-3</v>
      </c>
    </row>
    <row r="166" spans="1:7" x14ac:dyDescent="0.45">
      <c r="A166" s="4">
        <v>46042</v>
      </c>
      <c r="B166" s="1">
        <v>454.52</v>
      </c>
      <c r="C166" s="1">
        <v>451.21</v>
      </c>
      <c r="D166" s="1">
        <v>456.8</v>
      </c>
      <c r="E166" s="1">
        <v>449.28</v>
      </c>
      <c r="F166" t="s">
        <v>92</v>
      </c>
      <c r="G166">
        <v>-1.1599999999999999E-2</v>
      </c>
    </row>
    <row r="167" spans="1:7" x14ac:dyDescent="0.45">
      <c r="A167" s="4">
        <v>46043</v>
      </c>
      <c r="B167" s="1">
        <v>444.11</v>
      </c>
      <c r="C167" s="1">
        <v>452.6</v>
      </c>
      <c r="D167" s="1">
        <v>452.69</v>
      </c>
      <c r="E167" s="1">
        <v>438.68</v>
      </c>
      <c r="F167" t="s">
        <v>91</v>
      </c>
      <c r="G167">
        <v>-2.29E-2</v>
      </c>
    </row>
    <row r="168" spans="1:7" x14ac:dyDescent="0.45">
      <c r="A168" s="4">
        <v>46044</v>
      </c>
      <c r="B168" s="1">
        <v>451.14</v>
      </c>
      <c r="C168" s="1">
        <v>447.62</v>
      </c>
      <c r="D168" s="1">
        <v>452.84</v>
      </c>
      <c r="E168" s="1">
        <v>444.7</v>
      </c>
      <c r="F168" t="s">
        <v>90</v>
      </c>
      <c r="G168">
        <v>1.5800000000000002E-2</v>
      </c>
    </row>
    <row r="169" spans="1:7" x14ac:dyDescent="0.45">
      <c r="A169" s="4">
        <v>46045</v>
      </c>
      <c r="B169" s="1">
        <v>465.95</v>
      </c>
      <c r="C169" s="1">
        <v>451.87</v>
      </c>
      <c r="D169" s="1">
        <v>471.1</v>
      </c>
      <c r="E169" s="1">
        <v>450.53</v>
      </c>
      <c r="F169" t="s">
        <v>89</v>
      </c>
      <c r="G169">
        <v>3.2800000000000003E-2</v>
      </c>
    </row>
    <row r="170" spans="1:7" x14ac:dyDescent="0.45">
      <c r="A170" s="4">
        <v>46048</v>
      </c>
      <c r="B170" s="1">
        <v>470.28</v>
      </c>
      <c r="C170" s="1">
        <v>465.3</v>
      </c>
      <c r="D170" s="1">
        <v>474.25</v>
      </c>
      <c r="E170" s="1">
        <v>462</v>
      </c>
      <c r="F170" t="s">
        <v>88</v>
      </c>
      <c r="G170">
        <v>9.2999999999999992E-3</v>
      </c>
    </row>
    <row r="171" spans="1:7" x14ac:dyDescent="0.45">
      <c r="A171" s="4">
        <v>46049</v>
      </c>
      <c r="B171" s="1">
        <v>480.58</v>
      </c>
      <c r="C171" s="1">
        <v>473.7</v>
      </c>
      <c r="D171" s="1">
        <v>482.87</v>
      </c>
      <c r="E171" s="1">
        <v>473.16</v>
      </c>
      <c r="F171" t="s">
        <v>87</v>
      </c>
      <c r="G171">
        <v>2.1899999999999999E-2</v>
      </c>
    </row>
    <row r="172" spans="1:7" x14ac:dyDescent="0.45">
      <c r="A172" s="4">
        <v>46050</v>
      </c>
      <c r="B172" s="1">
        <v>481.63</v>
      </c>
      <c r="C172" s="1">
        <v>483.21</v>
      </c>
      <c r="D172" s="1">
        <v>483.74</v>
      </c>
      <c r="E172" s="1">
        <v>478</v>
      </c>
      <c r="F172" t="s">
        <v>86</v>
      </c>
      <c r="G172">
        <v>2.2000000000000001E-3</v>
      </c>
    </row>
    <row r="173" spans="1:7" x14ac:dyDescent="0.45">
      <c r="A173" s="4">
        <v>46051</v>
      </c>
      <c r="B173" s="1">
        <v>433.5</v>
      </c>
      <c r="C173" s="1">
        <v>439.99</v>
      </c>
      <c r="D173" s="1">
        <v>442.5</v>
      </c>
      <c r="E173" s="1">
        <v>421.02</v>
      </c>
      <c r="F173" t="s">
        <v>85</v>
      </c>
      <c r="G173">
        <v>-9.9900000000000003E-2</v>
      </c>
    </row>
    <row r="174" spans="1:7" x14ac:dyDescent="0.45">
      <c r="A174" s="4">
        <v>46052</v>
      </c>
      <c r="B174" s="1">
        <v>430.29</v>
      </c>
      <c r="C174" s="1">
        <v>439.17</v>
      </c>
      <c r="D174" s="1">
        <v>439.6</v>
      </c>
      <c r="E174" s="1">
        <v>426.45</v>
      </c>
      <c r="F174" t="s">
        <v>84</v>
      </c>
      <c r="G174">
        <v>-7.4000000000000003E-3</v>
      </c>
    </row>
    <row r="175" spans="1:7" x14ac:dyDescent="0.45">
      <c r="A175" s="4">
        <v>46055</v>
      </c>
      <c r="B175" s="1">
        <v>423.37</v>
      </c>
      <c r="C175" s="1">
        <v>430.23</v>
      </c>
      <c r="D175" s="1">
        <v>430.74</v>
      </c>
      <c r="E175" s="1">
        <v>422.25</v>
      </c>
      <c r="F175" t="s">
        <v>83</v>
      </c>
      <c r="G175">
        <v>-1.61E-2</v>
      </c>
    </row>
    <row r="176" spans="1:7" x14ac:dyDescent="0.45">
      <c r="A176" s="4">
        <v>46056</v>
      </c>
      <c r="B176" s="1">
        <v>411.21</v>
      </c>
      <c r="C176" s="1">
        <v>422.01</v>
      </c>
      <c r="D176" s="1">
        <v>422.05</v>
      </c>
      <c r="E176" s="1">
        <v>408.56</v>
      </c>
      <c r="F176" t="s">
        <v>82</v>
      </c>
      <c r="G176">
        <v>-2.87E-2</v>
      </c>
    </row>
    <row r="177" spans="1:7" x14ac:dyDescent="0.45">
      <c r="A177" s="4">
        <v>46057</v>
      </c>
      <c r="B177" s="1">
        <v>414.19</v>
      </c>
      <c r="C177" s="1">
        <v>411</v>
      </c>
      <c r="D177" s="1">
        <v>419.8</v>
      </c>
      <c r="E177" s="1">
        <v>409.24</v>
      </c>
      <c r="F177" t="s">
        <v>81</v>
      </c>
      <c r="G177">
        <v>7.1999999999999998E-3</v>
      </c>
    </row>
    <row r="178" spans="1:7" x14ac:dyDescent="0.45">
      <c r="A178" s="4">
        <v>46058</v>
      </c>
      <c r="B178" s="1">
        <v>393.67</v>
      </c>
      <c r="C178" s="1">
        <v>407.44</v>
      </c>
      <c r="D178" s="1">
        <v>408.3</v>
      </c>
      <c r="E178" s="1">
        <v>392.32</v>
      </c>
      <c r="F178" t="s">
        <v>80</v>
      </c>
      <c r="G178">
        <v>-4.9500000000000002E-2</v>
      </c>
    </row>
    <row r="179" spans="1:7" x14ac:dyDescent="0.45">
      <c r="A179" s="4">
        <v>46059</v>
      </c>
      <c r="B179" s="1">
        <v>401.14</v>
      </c>
      <c r="C179" s="1">
        <v>399.17</v>
      </c>
      <c r="D179" s="1">
        <v>401.79</v>
      </c>
      <c r="E179" s="1">
        <v>392.92</v>
      </c>
      <c r="F179" t="s">
        <v>79</v>
      </c>
      <c r="G179">
        <v>1.9E-2</v>
      </c>
    </row>
    <row r="180" spans="1:7" x14ac:dyDescent="0.45">
      <c r="A180" s="4">
        <v>46062</v>
      </c>
      <c r="B180" s="1">
        <v>413.6</v>
      </c>
      <c r="C180" s="1">
        <v>404.85</v>
      </c>
      <c r="D180" s="1">
        <v>414.89</v>
      </c>
      <c r="E180" s="1">
        <v>400.87</v>
      </c>
      <c r="F180" t="s">
        <v>78</v>
      </c>
      <c r="G180">
        <v>3.1099999999999999E-2</v>
      </c>
    </row>
    <row r="181" spans="1:7" x14ac:dyDescent="0.45">
      <c r="A181" s="4">
        <v>46063</v>
      </c>
      <c r="B181" s="1">
        <v>413.27</v>
      </c>
      <c r="C181" s="1">
        <v>419.62</v>
      </c>
      <c r="D181" s="1">
        <v>423.68</v>
      </c>
      <c r="E181" s="1">
        <v>412.7</v>
      </c>
      <c r="F181" t="s">
        <v>77</v>
      </c>
      <c r="G181">
        <v>-8.0000000000000004E-4</v>
      </c>
    </row>
    <row r="182" spans="1:7" x14ac:dyDescent="0.45">
      <c r="A182" s="4">
        <v>46064</v>
      </c>
      <c r="B182" s="1">
        <v>404.37</v>
      </c>
      <c r="C182" s="1">
        <v>416.17</v>
      </c>
      <c r="D182" s="1">
        <v>416.46</v>
      </c>
      <c r="E182" s="1">
        <v>401.01</v>
      </c>
      <c r="F182" t="s">
        <v>76</v>
      </c>
      <c r="G182">
        <v>-2.1499999999999998E-2</v>
      </c>
    </row>
    <row r="183" spans="1:7" x14ac:dyDescent="0.45">
      <c r="A183" s="4">
        <v>46065</v>
      </c>
      <c r="B183" s="1">
        <v>401.84</v>
      </c>
      <c r="C183" s="1">
        <v>405</v>
      </c>
      <c r="D183" s="1">
        <v>406.2</v>
      </c>
      <c r="E183" s="1">
        <v>398.01</v>
      </c>
      <c r="F183" t="s">
        <v>75</v>
      </c>
      <c r="G183">
        <v>-6.3E-3</v>
      </c>
    </row>
    <row r="184" spans="1:7" x14ac:dyDescent="0.45">
      <c r="A184" s="4">
        <v>46066</v>
      </c>
      <c r="B184" s="1">
        <v>401.32</v>
      </c>
      <c r="C184" s="1">
        <v>404.45</v>
      </c>
      <c r="D184" s="1">
        <v>405.54</v>
      </c>
      <c r="E184" s="1">
        <v>398.05</v>
      </c>
      <c r="F184" t="s">
        <v>74</v>
      </c>
      <c r="G184">
        <v>-1.2999999999999999E-3</v>
      </c>
    </row>
    <row r="185" spans="1:7" x14ac:dyDescent="0.45">
      <c r="A185" s="4">
        <v>46070</v>
      </c>
      <c r="B185" s="1">
        <v>396.86</v>
      </c>
      <c r="C185" s="1">
        <v>399.22</v>
      </c>
      <c r="D185" s="1">
        <v>400.52</v>
      </c>
      <c r="E185" s="1">
        <v>394.52</v>
      </c>
      <c r="F185" t="s">
        <v>73</v>
      </c>
      <c r="G185">
        <v>-1.11E-2</v>
      </c>
    </row>
    <row r="186" spans="1:7" x14ac:dyDescent="0.45">
      <c r="A186" s="4">
        <v>46071</v>
      </c>
      <c r="B186" s="1">
        <v>399.6</v>
      </c>
      <c r="C186" s="1">
        <v>398.13</v>
      </c>
      <c r="D186" s="1">
        <v>402.56</v>
      </c>
      <c r="E186" s="1">
        <v>396.32</v>
      </c>
      <c r="F186" t="s">
        <v>72</v>
      </c>
      <c r="G186">
        <v>6.8999999999999999E-3</v>
      </c>
    </row>
    <row r="187" spans="1:7" x14ac:dyDescent="0.45">
      <c r="A187" s="4">
        <v>46072</v>
      </c>
      <c r="B187" s="1">
        <v>398.46</v>
      </c>
      <c r="C187" s="1">
        <v>400.69</v>
      </c>
      <c r="D187" s="1">
        <v>404.43</v>
      </c>
      <c r="E187" s="1">
        <v>396.67</v>
      </c>
      <c r="F187" t="s">
        <v>71</v>
      </c>
      <c r="G187">
        <v>-2.8999999999999998E-3</v>
      </c>
    </row>
    <row r="188" spans="1:7" x14ac:dyDescent="0.45">
      <c r="A188" s="4">
        <v>46073</v>
      </c>
      <c r="B188" s="1">
        <v>397.23</v>
      </c>
      <c r="C188" s="1">
        <v>396.11</v>
      </c>
      <c r="D188" s="1">
        <v>400.12</v>
      </c>
      <c r="E188" s="1">
        <v>395.16</v>
      </c>
      <c r="F188" t="s">
        <v>70</v>
      </c>
      <c r="G188">
        <v>-3.0999999999999999E-3</v>
      </c>
    </row>
    <row r="189" spans="1:7" x14ac:dyDescent="0.45">
      <c r="A189" s="4">
        <v>46076</v>
      </c>
      <c r="B189" s="1">
        <v>384.47</v>
      </c>
      <c r="C189" s="1">
        <v>395</v>
      </c>
      <c r="D189" s="1">
        <v>395.36</v>
      </c>
      <c r="E189" s="1">
        <v>383.1</v>
      </c>
      <c r="F189" t="s">
        <v>69</v>
      </c>
      <c r="G189">
        <v>-3.2099999999999997E-2</v>
      </c>
    </row>
    <row r="190" spans="1:7" x14ac:dyDescent="0.45">
      <c r="A190" s="4">
        <v>46077</v>
      </c>
      <c r="B190" s="1">
        <v>389</v>
      </c>
      <c r="C190" s="1">
        <v>384.14</v>
      </c>
      <c r="D190" s="1">
        <v>389.36</v>
      </c>
      <c r="E190" s="1">
        <v>381.71</v>
      </c>
      <c r="F190" t="s">
        <v>68</v>
      </c>
      <c r="G190">
        <v>1.18E-2</v>
      </c>
    </row>
    <row r="191" spans="1:7" x14ac:dyDescent="0.45">
      <c r="A191" s="4">
        <v>46078</v>
      </c>
      <c r="B191" s="1">
        <v>400.6</v>
      </c>
      <c r="C191" s="1">
        <v>390.52</v>
      </c>
      <c r="D191" s="1">
        <v>401.47</v>
      </c>
      <c r="E191" s="1">
        <v>390.16</v>
      </c>
      <c r="F191" t="s">
        <v>67</v>
      </c>
      <c r="G191">
        <v>2.98E-2</v>
      </c>
    </row>
    <row r="192" spans="1:7" x14ac:dyDescent="0.45">
      <c r="A192" s="4">
        <v>46079</v>
      </c>
      <c r="B192" s="1">
        <v>401.72</v>
      </c>
      <c r="C192" s="1">
        <v>404.71</v>
      </c>
      <c r="D192" s="1">
        <v>407.49</v>
      </c>
      <c r="E192" s="1">
        <v>398.74</v>
      </c>
      <c r="F192" t="s">
        <v>66</v>
      </c>
      <c r="G192">
        <v>2.8E-3</v>
      </c>
    </row>
    <row r="193" spans="1:7" x14ac:dyDescent="0.45">
      <c r="A193" s="4">
        <v>46080</v>
      </c>
      <c r="B193" s="1">
        <v>392.74</v>
      </c>
      <c r="C193" s="1">
        <v>390.88</v>
      </c>
      <c r="D193" s="1">
        <v>396.82</v>
      </c>
      <c r="E193" s="1">
        <v>389.88</v>
      </c>
      <c r="F193" t="s">
        <v>65</v>
      </c>
      <c r="G193">
        <v>-2.24E-2</v>
      </c>
    </row>
    <row r="194" spans="1:7" x14ac:dyDescent="0.45">
      <c r="A194" s="4">
        <v>46083</v>
      </c>
      <c r="B194" s="1">
        <v>398.55</v>
      </c>
      <c r="C194" s="1">
        <v>392.86</v>
      </c>
      <c r="D194" s="1">
        <v>401.19</v>
      </c>
      <c r="E194" s="1">
        <v>390.63</v>
      </c>
      <c r="F194" t="s">
        <v>64</v>
      </c>
      <c r="G194">
        <v>1.4800000000000001E-2</v>
      </c>
    </row>
    <row r="195" spans="1:7" x14ac:dyDescent="0.45">
      <c r="A195" s="4">
        <v>46084</v>
      </c>
      <c r="B195" s="1">
        <v>403.93</v>
      </c>
      <c r="C195" s="1">
        <v>393.14</v>
      </c>
      <c r="D195" s="1">
        <v>406.7</v>
      </c>
      <c r="E195" s="1">
        <v>392.67</v>
      </c>
      <c r="F195" t="s">
        <v>63</v>
      </c>
      <c r="G195">
        <v>1.35E-2</v>
      </c>
    </row>
    <row r="196" spans="1:7" x14ac:dyDescent="0.45">
      <c r="A196" s="4">
        <v>46085</v>
      </c>
      <c r="B196" s="1">
        <v>405.2</v>
      </c>
      <c r="C196" s="1">
        <v>401.27</v>
      </c>
      <c r="D196" s="1">
        <v>411.03</v>
      </c>
      <c r="E196" s="1">
        <v>400.31</v>
      </c>
      <c r="F196" t="s">
        <v>62</v>
      </c>
      <c r="G196">
        <v>3.0999999999999999E-3</v>
      </c>
    </row>
    <row r="197" spans="1:7" x14ac:dyDescent="0.45">
      <c r="A197" s="4">
        <v>46086</v>
      </c>
      <c r="B197" s="1">
        <v>410.68</v>
      </c>
      <c r="C197" s="1">
        <v>404.42</v>
      </c>
      <c r="D197" s="1">
        <v>411.61</v>
      </c>
      <c r="E197" s="1">
        <v>404.4</v>
      </c>
      <c r="F197" t="s">
        <v>61</v>
      </c>
      <c r="G197">
        <v>1.35E-2</v>
      </c>
    </row>
    <row r="198" spans="1:7" x14ac:dyDescent="0.45">
      <c r="A198" s="4">
        <v>46087</v>
      </c>
      <c r="B198" s="1">
        <v>408.96</v>
      </c>
      <c r="C198" s="1">
        <v>409.2</v>
      </c>
      <c r="D198" s="1">
        <v>413.05</v>
      </c>
      <c r="E198" s="1">
        <v>408.51</v>
      </c>
      <c r="F198" t="s">
        <v>60</v>
      </c>
      <c r="G198">
        <v>-4.1999999999999997E-3</v>
      </c>
    </row>
    <row r="199" spans="1:7" x14ac:dyDescent="0.45">
      <c r="A199" s="4">
        <v>46090</v>
      </c>
      <c r="B199" s="1">
        <v>409.41</v>
      </c>
      <c r="C199" s="1">
        <v>404.92</v>
      </c>
      <c r="D199" s="1">
        <v>410.21</v>
      </c>
      <c r="E199" s="1">
        <v>403.5</v>
      </c>
      <c r="F199" t="s">
        <v>59</v>
      </c>
      <c r="G199">
        <v>1.1000000000000001E-3</v>
      </c>
    </row>
    <row r="200" spans="1:7" x14ac:dyDescent="0.45">
      <c r="A200" s="4">
        <v>46091</v>
      </c>
      <c r="B200" s="1">
        <v>405.76</v>
      </c>
      <c r="C200" s="1">
        <v>410.03</v>
      </c>
      <c r="D200" s="1">
        <v>410.2</v>
      </c>
      <c r="E200" s="1">
        <v>402.93</v>
      </c>
      <c r="F200" t="s">
        <v>58</v>
      </c>
      <c r="G200">
        <v>-8.8999999999999999E-3</v>
      </c>
    </row>
    <row r="201" spans="1:7" x14ac:dyDescent="0.45">
      <c r="A201" s="4">
        <v>46092</v>
      </c>
      <c r="B201" s="1">
        <v>404.88</v>
      </c>
      <c r="C201" s="1">
        <v>405.57</v>
      </c>
      <c r="D201" s="1">
        <v>409.01</v>
      </c>
      <c r="E201" s="1">
        <v>401.59</v>
      </c>
      <c r="F201" t="s">
        <v>57</v>
      </c>
      <c r="G201">
        <v>-2.2000000000000001E-3</v>
      </c>
    </row>
    <row r="202" spans="1:7" x14ac:dyDescent="0.45">
      <c r="A202" s="4">
        <v>46093</v>
      </c>
      <c r="B202" s="1">
        <v>401.86</v>
      </c>
      <c r="C202" s="1">
        <v>404.63</v>
      </c>
      <c r="D202" s="1">
        <v>406.12</v>
      </c>
      <c r="E202" s="1">
        <v>401.71</v>
      </c>
      <c r="F202" t="s">
        <v>56</v>
      </c>
      <c r="G202">
        <v>-7.4999999999999997E-3</v>
      </c>
    </row>
    <row r="203" spans="1:7" x14ac:dyDescent="0.45">
      <c r="A203" s="4">
        <v>46094</v>
      </c>
      <c r="B203" s="1">
        <v>395.55</v>
      </c>
      <c r="C203" s="1">
        <v>401</v>
      </c>
      <c r="D203" s="1">
        <v>404.8</v>
      </c>
      <c r="E203" s="1">
        <v>394.25</v>
      </c>
      <c r="F203" t="s">
        <v>55</v>
      </c>
      <c r="G203">
        <v>-1.5699999999999999E-2</v>
      </c>
    </row>
    <row r="204" spans="1:7" x14ac:dyDescent="0.45">
      <c r="A204" s="4">
        <v>46097</v>
      </c>
      <c r="B204" s="1">
        <v>399.95</v>
      </c>
      <c r="C204" s="1">
        <v>398.07</v>
      </c>
      <c r="D204" s="1">
        <v>400.63</v>
      </c>
      <c r="E204" s="1">
        <v>394.79</v>
      </c>
      <c r="F204" t="s">
        <v>54</v>
      </c>
      <c r="G204">
        <v>1.11E-2</v>
      </c>
    </row>
    <row r="205" spans="1:7" x14ac:dyDescent="0.45">
      <c r="A205" s="4">
        <v>46098</v>
      </c>
      <c r="B205" s="1">
        <v>399.41</v>
      </c>
      <c r="C205" s="1">
        <v>400.27</v>
      </c>
      <c r="D205" s="1">
        <v>404.4</v>
      </c>
      <c r="E205" s="1">
        <v>397.74</v>
      </c>
      <c r="F205" t="s">
        <v>53</v>
      </c>
      <c r="G205">
        <v>-1.4E-3</v>
      </c>
    </row>
    <row r="206" spans="1:7" x14ac:dyDescent="0.45">
      <c r="A206" s="4">
        <v>46099</v>
      </c>
      <c r="B206" s="1">
        <v>391.79</v>
      </c>
      <c r="C206" s="1">
        <v>397.13</v>
      </c>
      <c r="D206" s="1">
        <v>398</v>
      </c>
      <c r="E206" s="1">
        <v>391</v>
      </c>
      <c r="F206" t="s">
        <v>52</v>
      </c>
      <c r="G206">
        <v>-1.9099999999999999E-2</v>
      </c>
    </row>
    <row r="207" spans="1:7" x14ac:dyDescent="0.45">
      <c r="A207" s="4">
        <v>46100</v>
      </c>
      <c r="B207" s="1">
        <v>389.02</v>
      </c>
      <c r="C207" s="1">
        <v>390.1</v>
      </c>
      <c r="D207" s="1">
        <v>392.49</v>
      </c>
      <c r="E207" s="1">
        <v>387.06</v>
      </c>
      <c r="F207" t="s">
        <v>51</v>
      </c>
      <c r="G207">
        <v>-7.1000000000000004E-3</v>
      </c>
    </row>
    <row r="208" spans="1:7" x14ac:dyDescent="0.45">
      <c r="A208" s="4">
        <v>46101</v>
      </c>
      <c r="B208" s="1">
        <v>381.87</v>
      </c>
      <c r="C208" s="1">
        <v>386.79</v>
      </c>
      <c r="D208" s="1">
        <v>387</v>
      </c>
      <c r="E208" s="1">
        <v>380.12</v>
      </c>
      <c r="F208" t="s">
        <v>50</v>
      </c>
      <c r="G208">
        <v>-1.84E-2</v>
      </c>
    </row>
    <row r="209" spans="1:7" x14ac:dyDescent="0.45">
      <c r="A209" s="4">
        <v>46104</v>
      </c>
      <c r="B209" s="1">
        <v>383</v>
      </c>
      <c r="C209" s="1">
        <v>383.9</v>
      </c>
      <c r="D209" s="1">
        <v>387.21</v>
      </c>
      <c r="E209" s="1">
        <v>381.68</v>
      </c>
      <c r="F209" t="s">
        <v>49</v>
      </c>
      <c r="G209">
        <v>3.0000000000000001E-3</v>
      </c>
    </row>
    <row r="210" spans="1:7" x14ac:dyDescent="0.45">
      <c r="A210" s="4">
        <v>46105</v>
      </c>
      <c r="B210" s="1">
        <v>372.74</v>
      </c>
      <c r="C210" s="1">
        <v>382.36</v>
      </c>
      <c r="D210" s="1">
        <v>382.47</v>
      </c>
      <c r="E210" s="1">
        <v>371.85</v>
      </c>
      <c r="F210" t="s">
        <v>48</v>
      </c>
      <c r="G210">
        <v>-2.6800000000000001E-2</v>
      </c>
    </row>
    <row r="211" spans="1:7" x14ac:dyDescent="0.45">
      <c r="A211" s="4">
        <v>46106</v>
      </c>
      <c r="B211" s="1">
        <v>371.04</v>
      </c>
      <c r="C211" s="1">
        <v>376.92</v>
      </c>
      <c r="D211" s="1">
        <v>377.06</v>
      </c>
      <c r="E211" s="1">
        <v>369.63</v>
      </c>
      <c r="F211" t="s">
        <v>47</v>
      </c>
      <c r="G211">
        <v>-4.5999999999999999E-3</v>
      </c>
    </row>
    <row r="212" spans="1:7" x14ac:dyDescent="0.45">
      <c r="A212" s="4">
        <v>46107</v>
      </c>
      <c r="B212" s="1">
        <v>365.97</v>
      </c>
      <c r="C212" s="1">
        <v>370.82</v>
      </c>
      <c r="D212" s="1">
        <v>374.72</v>
      </c>
      <c r="E212" s="1">
        <v>365.19</v>
      </c>
      <c r="F212" t="s">
        <v>46</v>
      </c>
      <c r="G212">
        <v>-1.37E-2</v>
      </c>
    </row>
    <row r="213" spans="1:7" x14ac:dyDescent="0.45">
      <c r="A213" s="4">
        <v>46108</v>
      </c>
      <c r="B213" s="1">
        <v>356.77</v>
      </c>
      <c r="C213" s="1">
        <v>361.9</v>
      </c>
      <c r="D213" s="1">
        <v>362.45</v>
      </c>
      <c r="E213" s="1">
        <v>356.51</v>
      </c>
      <c r="F213" t="s">
        <v>45</v>
      </c>
      <c r="G213">
        <v>-2.5100000000000001E-2</v>
      </c>
    </row>
    <row r="214" spans="1:7" x14ac:dyDescent="0.45">
      <c r="A214" s="4">
        <v>46111</v>
      </c>
      <c r="B214" s="1">
        <v>358.96</v>
      </c>
      <c r="C214" s="1">
        <v>361.89</v>
      </c>
      <c r="D214" s="1">
        <v>365.36</v>
      </c>
      <c r="E214" s="1">
        <v>356.28</v>
      </c>
      <c r="F214" t="s">
        <v>44</v>
      </c>
      <c r="G214">
        <v>6.1000000000000004E-3</v>
      </c>
    </row>
    <row r="215" spans="1:7" x14ac:dyDescent="0.45">
      <c r="A215" s="4">
        <v>46112</v>
      </c>
      <c r="B215" s="1">
        <v>370.17</v>
      </c>
      <c r="C215" s="1">
        <v>364.55</v>
      </c>
      <c r="D215" s="1">
        <v>372.9</v>
      </c>
      <c r="E215" s="1">
        <v>363.07</v>
      </c>
      <c r="F215" t="s">
        <v>43</v>
      </c>
      <c r="G215">
        <v>3.1199999999999999E-2</v>
      </c>
    </row>
    <row r="216" spans="1:7" x14ac:dyDescent="0.45">
      <c r="A216" s="4">
        <v>46113</v>
      </c>
      <c r="B216" s="1">
        <v>369.37</v>
      </c>
      <c r="C216" s="1">
        <v>373.49</v>
      </c>
      <c r="D216" s="1">
        <v>373.99</v>
      </c>
      <c r="E216" s="1">
        <v>368.2</v>
      </c>
      <c r="F216" t="s">
        <v>42</v>
      </c>
      <c r="G216">
        <v>-2.2000000000000001E-3</v>
      </c>
    </row>
    <row r="217" spans="1:7" x14ac:dyDescent="0.45">
      <c r="A217" s="4">
        <v>46114</v>
      </c>
      <c r="B217" s="1">
        <v>373.46</v>
      </c>
      <c r="C217" s="1">
        <v>367.2</v>
      </c>
      <c r="D217" s="1">
        <v>373.64</v>
      </c>
      <c r="E217" s="1">
        <v>364.15</v>
      </c>
      <c r="F217" t="s">
        <v>41</v>
      </c>
      <c r="G217">
        <v>1.11E-2</v>
      </c>
    </row>
    <row r="218" spans="1:7" x14ac:dyDescent="0.45">
      <c r="A218" s="4">
        <v>46118</v>
      </c>
      <c r="B218" s="1">
        <v>372.88</v>
      </c>
      <c r="C218" s="1">
        <v>373.49</v>
      </c>
      <c r="D218" s="1">
        <v>373.73</v>
      </c>
      <c r="E218" s="1">
        <v>369.5</v>
      </c>
      <c r="F218" t="s">
        <v>40</v>
      </c>
      <c r="G218">
        <v>-1.6000000000000001E-3</v>
      </c>
    </row>
    <row r="219" spans="1:7" x14ac:dyDescent="0.45">
      <c r="A219" s="4">
        <v>46119</v>
      </c>
      <c r="B219" s="1">
        <v>372.29</v>
      </c>
      <c r="C219" s="1">
        <v>370.34</v>
      </c>
      <c r="D219" s="1">
        <v>372.45</v>
      </c>
      <c r="E219" s="1">
        <v>366.56</v>
      </c>
      <c r="F219" t="s">
        <v>39</v>
      </c>
      <c r="G219">
        <v>-1.6000000000000001E-3</v>
      </c>
    </row>
    <row r="220" spans="1:7" x14ac:dyDescent="0.45">
      <c r="A220" s="4">
        <v>46120</v>
      </c>
      <c r="B220" s="1">
        <v>374.33</v>
      </c>
      <c r="C220" s="1">
        <v>384.98</v>
      </c>
      <c r="D220" s="1">
        <v>385</v>
      </c>
      <c r="E220" s="1">
        <v>371.41</v>
      </c>
      <c r="F220" t="s">
        <v>38</v>
      </c>
      <c r="G220">
        <v>5.4999999999999997E-3</v>
      </c>
    </row>
    <row r="221" spans="1:7" x14ac:dyDescent="0.45">
      <c r="A221" s="4">
        <v>46121</v>
      </c>
      <c r="B221" s="1">
        <v>373.07</v>
      </c>
      <c r="C221" s="1">
        <v>372.5</v>
      </c>
      <c r="D221" s="1">
        <v>373.5</v>
      </c>
      <c r="E221" s="1">
        <v>367.05</v>
      </c>
      <c r="F221" t="s">
        <v>25</v>
      </c>
      <c r="G221">
        <v>-3.3999999999999998E-3</v>
      </c>
    </row>
    <row r="222" spans="1:7" x14ac:dyDescent="0.45">
      <c r="A222" s="4">
        <v>46122</v>
      </c>
      <c r="B222" s="1">
        <v>370.87</v>
      </c>
      <c r="C222" s="1">
        <v>372.98</v>
      </c>
      <c r="D222" s="1">
        <v>375.64</v>
      </c>
      <c r="E222" s="1">
        <v>370.03</v>
      </c>
      <c r="F222" t="s">
        <v>37</v>
      </c>
      <c r="G222">
        <v>-5.8999999999999999E-3</v>
      </c>
    </row>
    <row r="223" spans="1:7" x14ac:dyDescent="0.45">
      <c r="A223" s="4">
        <v>46125</v>
      </c>
      <c r="B223" s="1">
        <v>384.37</v>
      </c>
      <c r="C223" s="1">
        <v>373.61</v>
      </c>
      <c r="D223" s="1">
        <v>384.54</v>
      </c>
      <c r="E223" s="1">
        <v>371.02</v>
      </c>
      <c r="F223" t="s">
        <v>36</v>
      </c>
      <c r="G223">
        <v>3.6400000000000002E-2</v>
      </c>
    </row>
    <row r="224" spans="1:7" x14ac:dyDescent="0.45">
      <c r="A224" s="4">
        <v>46126</v>
      </c>
      <c r="B224" s="1">
        <v>393.11</v>
      </c>
      <c r="C224" s="1">
        <v>387.92</v>
      </c>
      <c r="D224" s="1">
        <v>394.69</v>
      </c>
      <c r="E224" s="1">
        <v>386.52</v>
      </c>
      <c r="F224" t="s">
        <v>35</v>
      </c>
      <c r="G224">
        <v>2.2700000000000001E-2</v>
      </c>
    </row>
    <row r="225" spans="1:7" x14ac:dyDescent="0.45">
      <c r="A225" s="4">
        <v>46127</v>
      </c>
      <c r="B225" s="1">
        <v>411.22</v>
      </c>
      <c r="C225" s="1">
        <v>398</v>
      </c>
      <c r="D225" s="1">
        <v>414.37</v>
      </c>
      <c r="E225" s="1">
        <v>396.73</v>
      </c>
      <c r="F225" t="s">
        <v>34</v>
      </c>
      <c r="G225">
        <v>4.6100000000000002E-2</v>
      </c>
    </row>
    <row r="226" spans="1:7" x14ac:dyDescent="0.45">
      <c r="A226" s="4">
        <v>46128</v>
      </c>
      <c r="B226" s="1">
        <v>420.26</v>
      </c>
      <c r="C226" s="1">
        <v>419.86</v>
      </c>
      <c r="D226" s="1">
        <v>420.82</v>
      </c>
      <c r="E226" s="1">
        <v>412.14</v>
      </c>
      <c r="F226" t="s">
        <v>33</v>
      </c>
      <c r="G226">
        <v>2.1999999999999999E-2</v>
      </c>
    </row>
    <row r="227" spans="1:7" x14ac:dyDescent="0.45">
      <c r="A227" s="4">
        <v>46129</v>
      </c>
      <c r="B227" s="1">
        <v>422.79</v>
      </c>
      <c r="C227" s="1">
        <v>424.82</v>
      </c>
      <c r="D227" s="1">
        <v>431.58</v>
      </c>
      <c r="E227" s="1">
        <v>420.69</v>
      </c>
      <c r="F227" t="s">
        <v>32</v>
      </c>
      <c r="G227">
        <v>6.0000000000000001E-3</v>
      </c>
    </row>
    <row r="228" spans="1:7" x14ac:dyDescent="0.45">
      <c r="A228" s="4">
        <v>46132</v>
      </c>
      <c r="B228" s="1">
        <v>418.07</v>
      </c>
      <c r="C228" s="1">
        <v>421.14</v>
      </c>
      <c r="D228" s="1">
        <v>423.33</v>
      </c>
      <c r="E228" s="1">
        <v>416.3</v>
      </c>
      <c r="F228" t="s">
        <v>31</v>
      </c>
      <c r="G228">
        <v>-1.12E-2</v>
      </c>
    </row>
    <row r="229" spans="1:7" x14ac:dyDescent="0.45">
      <c r="A229" s="4">
        <v>46133</v>
      </c>
      <c r="B229" s="1">
        <v>424.16</v>
      </c>
      <c r="C229" s="1">
        <v>420.24</v>
      </c>
      <c r="D229" s="1">
        <v>427.18</v>
      </c>
      <c r="E229" s="1">
        <v>417.2</v>
      </c>
      <c r="F229" t="s">
        <v>30</v>
      </c>
      <c r="G229">
        <v>1.46E-2</v>
      </c>
    </row>
    <row r="230" spans="1:7" x14ac:dyDescent="0.45">
      <c r="A230" s="4">
        <v>46134</v>
      </c>
      <c r="B230" s="1">
        <v>432.92</v>
      </c>
      <c r="C230" s="1">
        <v>426.18</v>
      </c>
      <c r="D230" s="1">
        <v>433.7</v>
      </c>
      <c r="E230" s="1">
        <v>423.67</v>
      </c>
      <c r="F230" t="s">
        <v>29</v>
      </c>
      <c r="G230">
        <v>2.07E-2</v>
      </c>
    </row>
    <row r="231" spans="1:7" x14ac:dyDescent="0.45">
      <c r="A231" s="4">
        <v>46135</v>
      </c>
      <c r="B231" s="1">
        <v>415.75</v>
      </c>
      <c r="C231" s="1">
        <v>419.89</v>
      </c>
      <c r="D231" s="1">
        <v>423.66</v>
      </c>
      <c r="E231" s="1">
        <v>411.41</v>
      </c>
      <c r="F231" t="s">
        <v>28</v>
      </c>
      <c r="G231">
        <v>-3.9699999999999999E-2</v>
      </c>
    </row>
    <row r="232" spans="1:7" x14ac:dyDescent="0.45">
      <c r="A232" s="4">
        <v>46136</v>
      </c>
      <c r="B232" s="1">
        <v>424.62</v>
      </c>
      <c r="C232" s="1">
        <v>416.97</v>
      </c>
      <c r="D232" s="1">
        <v>424.95</v>
      </c>
      <c r="E232" s="1">
        <v>415.8</v>
      </c>
      <c r="F232" t="s">
        <v>27</v>
      </c>
      <c r="G232">
        <v>2.1299999999999999E-2</v>
      </c>
    </row>
    <row r="233" spans="1:7" x14ac:dyDescent="0.45">
      <c r="A233" s="4">
        <v>46139</v>
      </c>
      <c r="B233" s="1">
        <v>424.82</v>
      </c>
      <c r="C233" s="1">
        <v>422.38</v>
      </c>
      <c r="D233" s="1">
        <v>427.11</v>
      </c>
      <c r="E233" s="1">
        <v>417.07</v>
      </c>
      <c r="F233" t="s">
        <v>26</v>
      </c>
      <c r="G233">
        <v>5.0000000000000001E-4</v>
      </c>
    </row>
    <row r="234" spans="1:7" x14ac:dyDescent="0.45">
      <c r="A234" s="4">
        <v>46140</v>
      </c>
      <c r="B234" s="1">
        <v>429.25</v>
      </c>
      <c r="C234" s="1">
        <v>424.57</v>
      </c>
      <c r="D234" s="1">
        <v>429.92</v>
      </c>
      <c r="E234" s="1">
        <v>421.9</v>
      </c>
      <c r="F234" t="s">
        <v>25</v>
      </c>
      <c r="G234">
        <v>1.04E-2</v>
      </c>
    </row>
    <row r="235" spans="1:7" x14ac:dyDescent="0.45">
      <c r="A235" s="4">
        <v>46141</v>
      </c>
      <c r="B235" s="1">
        <v>424.46</v>
      </c>
      <c r="C235" s="1">
        <v>424.58</v>
      </c>
      <c r="D235" s="1">
        <v>426.82</v>
      </c>
      <c r="E235" s="1">
        <v>420.29</v>
      </c>
      <c r="F235" t="s">
        <v>24</v>
      </c>
      <c r="G235">
        <v>-1.12E-2</v>
      </c>
    </row>
    <row r="236" spans="1:7" x14ac:dyDescent="0.45">
      <c r="A236" s="4">
        <v>46142</v>
      </c>
      <c r="B236" s="1">
        <v>407.78</v>
      </c>
      <c r="C236" s="1">
        <v>410.81</v>
      </c>
      <c r="D236" s="1">
        <v>414.42</v>
      </c>
      <c r="E236" s="1">
        <v>398.01</v>
      </c>
      <c r="F236" t="s">
        <v>23</v>
      </c>
      <c r="G236">
        <v>-3.9300000000000002E-2</v>
      </c>
    </row>
    <row r="237" spans="1:7" x14ac:dyDescent="0.45">
      <c r="A237" s="4">
        <v>46143</v>
      </c>
      <c r="B237" s="1">
        <v>414.44</v>
      </c>
      <c r="C237" s="1">
        <v>412.8</v>
      </c>
      <c r="D237" s="1">
        <v>417.11</v>
      </c>
      <c r="E237" s="1">
        <v>410.43</v>
      </c>
      <c r="F237" t="s">
        <v>22</v>
      </c>
      <c r="G237">
        <v>1.6299999999999999E-2</v>
      </c>
    </row>
    <row r="238" spans="1:7" x14ac:dyDescent="0.45">
      <c r="A238" s="4">
        <v>46146</v>
      </c>
      <c r="B238" s="1">
        <v>413.62</v>
      </c>
      <c r="C238" s="1">
        <v>411.54</v>
      </c>
      <c r="D238" s="1">
        <v>420.78</v>
      </c>
      <c r="E238" s="1">
        <v>410.8</v>
      </c>
      <c r="F238" t="s">
        <v>21</v>
      </c>
      <c r="G238">
        <v>-2E-3</v>
      </c>
    </row>
    <row r="239" spans="1:7" x14ac:dyDescent="0.45">
      <c r="A239" s="4">
        <v>46147</v>
      </c>
      <c r="B239" s="1">
        <v>411.38</v>
      </c>
      <c r="C239" s="1">
        <v>415.32</v>
      </c>
      <c r="D239" s="1">
        <v>416.78</v>
      </c>
      <c r="E239" s="1">
        <v>408.8</v>
      </c>
      <c r="F239" t="s">
        <v>20</v>
      </c>
      <c r="G239">
        <v>-5.4000000000000003E-3</v>
      </c>
    </row>
    <row r="240" spans="1:7" x14ac:dyDescent="0.45">
      <c r="A240" s="4">
        <v>46148</v>
      </c>
      <c r="B240" s="1">
        <v>413.96</v>
      </c>
      <c r="C240" s="1">
        <v>408</v>
      </c>
      <c r="D240" s="1">
        <v>418.42</v>
      </c>
      <c r="E240" s="1">
        <v>405.11</v>
      </c>
      <c r="F240" t="s">
        <v>19</v>
      </c>
      <c r="G240">
        <v>6.3E-3</v>
      </c>
    </row>
    <row r="241" spans="1:7" x14ac:dyDescent="0.45">
      <c r="A241" s="4">
        <v>46149</v>
      </c>
      <c r="B241" s="1">
        <v>420.77</v>
      </c>
      <c r="C241" s="1">
        <v>420.11</v>
      </c>
      <c r="D241" s="1">
        <v>427.98</v>
      </c>
      <c r="E241" s="1">
        <v>418.76</v>
      </c>
      <c r="F241" t="s">
        <v>18</v>
      </c>
      <c r="G241">
        <v>1.6500000000000001E-2</v>
      </c>
    </row>
    <row r="242" spans="1:7" x14ac:dyDescent="0.45">
      <c r="A242" s="4">
        <v>46150</v>
      </c>
      <c r="B242" s="1">
        <v>415.12</v>
      </c>
      <c r="C242" s="1">
        <v>417.39</v>
      </c>
      <c r="D242" s="1">
        <v>418.63</v>
      </c>
      <c r="E242" s="1">
        <v>414</v>
      </c>
      <c r="F242" t="s">
        <v>17</v>
      </c>
      <c r="G242">
        <v>-1.34E-2</v>
      </c>
    </row>
    <row r="243" spans="1:7" x14ac:dyDescent="0.45">
      <c r="A243" s="4">
        <v>46153</v>
      </c>
      <c r="B243" s="1">
        <v>412.66</v>
      </c>
      <c r="C243" s="1">
        <v>407.87</v>
      </c>
      <c r="D243" s="1">
        <v>412.69</v>
      </c>
      <c r="E243" s="1">
        <v>405.5</v>
      </c>
      <c r="F243" t="s">
        <v>16</v>
      </c>
      <c r="G243">
        <v>-5.8999999999999999E-3</v>
      </c>
    </row>
    <row r="244" spans="1:7" x14ac:dyDescent="0.45">
      <c r="A244" s="4">
        <v>46154</v>
      </c>
      <c r="B244" s="1">
        <v>407.77</v>
      </c>
      <c r="C244" s="1">
        <v>414.48</v>
      </c>
      <c r="D244" s="1">
        <v>415.5</v>
      </c>
      <c r="E244" s="1">
        <v>406.64</v>
      </c>
      <c r="F244" t="s">
        <v>15</v>
      </c>
      <c r="G244">
        <v>-1.18E-2</v>
      </c>
    </row>
    <row r="245" spans="1:7" x14ac:dyDescent="0.45">
      <c r="A245" s="4">
        <v>46155</v>
      </c>
      <c r="B245" s="1">
        <v>405.21</v>
      </c>
      <c r="C245" s="1">
        <v>403.2</v>
      </c>
      <c r="D245" s="1">
        <v>406.31</v>
      </c>
      <c r="E245" s="1">
        <v>401.03</v>
      </c>
      <c r="F245" t="s">
        <v>14</v>
      </c>
      <c r="G245">
        <v>-6.3E-3</v>
      </c>
    </row>
    <row r="246" spans="1:7" x14ac:dyDescent="0.45">
      <c r="A246" s="4">
        <v>46156</v>
      </c>
      <c r="B246" s="1">
        <v>409.43</v>
      </c>
      <c r="C246" s="1">
        <v>404.48</v>
      </c>
      <c r="D246" s="1">
        <v>411.84</v>
      </c>
      <c r="E246" s="1">
        <v>400.88</v>
      </c>
      <c r="F246" t="s">
        <v>13</v>
      </c>
      <c r="G246">
        <v>1.04E-2</v>
      </c>
    </row>
    <row r="247" spans="1:7" x14ac:dyDescent="0.45">
      <c r="A247" s="4">
        <v>46157</v>
      </c>
      <c r="B247" s="1">
        <v>421.92</v>
      </c>
      <c r="C247" s="1">
        <v>414.27</v>
      </c>
      <c r="D247" s="1">
        <v>428.17</v>
      </c>
      <c r="E247" s="1">
        <v>412.91</v>
      </c>
      <c r="F247" t="s">
        <v>12</v>
      </c>
      <c r="G247">
        <v>3.0499999999999999E-2</v>
      </c>
    </row>
    <row r="248" spans="1:7" x14ac:dyDescent="0.45">
      <c r="A248" s="4">
        <v>46160</v>
      </c>
      <c r="B248" s="1">
        <v>423.54</v>
      </c>
      <c r="C248" s="1">
        <v>416.62</v>
      </c>
      <c r="D248" s="1">
        <v>425.12</v>
      </c>
      <c r="E248" s="1">
        <v>415.61</v>
      </c>
      <c r="F248" t="s">
        <v>11</v>
      </c>
      <c r="G248">
        <v>3.8E-3</v>
      </c>
    </row>
    <row r="249" spans="1:7" x14ac:dyDescent="0.45">
      <c r="A249" s="4">
        <v>46161</v>
      </c>
      <c r="B249" s="1">
        <v>417.42</v>
      </c>
      <c r="C249" s="1">
        <v>429.9</v>
      </c>
      <c r="D249" s="1">
        <v>432.7</v>
      </c>
      <c r="E249" s="1">
        <v>416.49</v>
      </c>
      <c r="F249" t="s">
        <v>10</v>
      </c>
      <c r="G249">
        <v>-1.44E-2</v>
      </c>
    </row>
    <row r="250" spans="1:7" x14ac:dyDescent="0.45">
      <c r="A250" s="4">
        <v>46162</v>
      </c>
      <c r="B250" s="1">
        <v>421.06</v>
      </c>
      <c r="C250" s="1">
        <v>414.17</v>
      </c>
      <c r="D250" s="1">
        <v>422.1</v>
      </c>
      <c r="E250" s="1">
        <v>411.3</v>
      </c>
      <c r="F250" t="s">
        <v>9</v>
      </c>
      <c r="G250">
        <v>8.6999999999999994E-3</v>
      </c>
    </row>
    <row r="251" spans="1:7" x14ac:dyDescent="0.45">
      <c r="A251" s="4">
        <v>46163</v>
      </c>
      <c r="B251" s="1">
        <v>419.09</v>
      </c>
      <c r="C251" s="1">
        <v>424.75</v>
      </c>
      <c r="D251" s="1">
        <v>426.34</v>
      </c>
      <c r="E251" s="1">
        <v>415.71</v>
      </c>
      <c r="F251" t="s">
        <v>8</v>
      </c>
      <c r="G251">
        <v>-4.7000000000000002E-3</v>
      </c>
    </row>
    <row r="252" spans="1:7" x14ac:dyDescent="0.45">
      <c r="A252" s="4">
        <v>46164</v>
      </c>
      <c r="B252" s="1">
        <v>418.57</v>
      </c>
      <c r="C252" s="1">
        <v>419.54</v>
      </c>
      <c r="D252" s="1">
        <v>424.4</v>
      </c>
      <c r="E252" s="1">
        <v>416.33</v>
      </c>
      <c r="F252" t="s">
        <v>7</v>
      </c>
      <c r="G252">
        <v>-1.1999999999999999E-3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49E83-D702-4958-9004-C375EC550F80}">
  <dimension ref="A1:G252"/>
  <sheetViews>
    <sheetView workbookViewId="0">
      <selection activeCell="O251" sqref="O251"/>
    </sheetView>
  </sheetViews>
  <sheetFormatPr defaultRowHeight="14.25" x14ac:dyDescent="0.45"/>
  <cols>
    <col min="1" max="1" width="9.9296875" bestFit="1" customWidth="1"/>
    <col min="2" max="2" width="7.06640625" bestFit="1" customWidth="1"/>
    <col min="3" max="3" width="7.19921875" bestFit="1" customWidth="1"/>
    <col min="4" max="5" width="6.73046875" bestFit="1" customWidth="1"/>
    <col min="6" max="6" width="7.6640625" bestFit="1" customWidth="1"/>
    <col min="7" max="7" width="10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4">
        <v>45800</v>
      </c>
      <c r="B2">
        <v>131.29</v>
      </c>
      <c r="C2">
        <v>130</v>
      </c>
      <c r="D2">
        <v>132.68</v>
      </c>
      <c r="E2">
        <v>129.16</v>
      </c>
      <c r="F2" t="s">
        <v>497</v>
      </c>
      <c r="G2">
        <v>-1.1599999999999999E-2</v>
      </c>
    </row>
    <row r="3" spans="1:7" x14ac:dyDescent="0.45">
      <c r="A3" s="4">
        <v>45804</v>
      </c>
      <c r="B3">
        <v>135.5</v>
      </c>
      <c r="C3">
        <v>134.15</v>
      </c>
      <c r="D3">
        <v>135.66</v>
      </c>
      <c r="E3">
        <v>133.31</v>
      </c>
      <c r="F3" t="s">
        <v>496</v>
      </c>
      <c r="G3">
        <v>3.2099999999999997E-2</v>
      </c>
    </row>
    <row r="4" spans="1:7" x14ac:dyDescent="0.45">
      <c r="A4" s="4">
        <v>45805</v>
      </c>
      <c r="B4">
        <v>134.81</v>
      </c>
      <c r="C4">
        <v>136.02000000000001</v>
      </c>
      <c r="D4">
        <v>137.25</v>
      </c>
      <c r="E4">
        <v>134.79</v>
      </c>
      <c r="F4" t="s">
        <v>495</v>
      </c>
      <c r="G4">
        <v>-5.1000000000000004E-3</v>
      </c>
    </row>
    <row r="5" spans="1:7" x14ac:dyDescent="0.45">
      <c r="A5" s="4">
        <v>45806</v>
      </c>
      <c r="B5">
        <v>139.19</v>
      </c>
      <c r="C5">
        <v>142.24</v>
      </c>
      <c r="D5">
        <v>143.49</v>
      </c>
      <c r="E5">
        <v>137.91</v>
      </c>
      <c r="F5" t="s">
        <v>494</v>
      </c>
      <c r="G5">
        <v>3.2500000000000001E-2</v>
      </c>
    </row>
    <row r="6" spans="1:7" x14ac:dyDescent="0.45">
      <c r="A6" s="4">
        <v>45807</v>
      </c>
      <c r="B6">
        <v>135.13</v>
      </c>
      <c r="C6">
        <v>138.71</v>
      </c>
      <c r="D6">
        <v>139.62</v>
      </c>
      <c r="E6">
        <v>132.91999999999999</v>
      </c>
      <c r="F6" t="s">
        <v>493</v>
      </c>
      <c r="G6">
        <v>-2.92E-2</v>
      </c>
    </row>
    <row r="7" spans="1:7" x14ac:dyDescent="0.45">
      <c r="A7" s="4">
        <v>45810</v>
      </c>
      <c r="B7">
        <v>137.38</v>
      </c>
      <c r="C7">
        <v>135.49</v>
      </c>
      <c r="D7">
        <v>138.12</v>
      </c>
      <c r="E7">
        <v>135.4</v>
      </c>
      <c r="F7" t="s">
        <v>492</v>
      </c>
      <c r="G7">
        <v>1.67E-2</v>
      </c>
    </row>
    <row r="8" spans="1:7" x14ac:dyDescent="0.45">
      <c r="A8" s="4">
        <v>45811</v>
      </c>
      <c r="B8">
        <v>141.22</v>
      </c>
      <c r="C8">
        <v>138.78</v>
      </c>
      <c r="D8">
        <v>142</v>
      </c>
      <c r="E8">
        <v>137.94999999999999</v>
      </c>
      <c r="F8" t="s">
        <v>491</v>
      </c>
      <c r="G8">
        <v>2.8000000000000001E-2</v>
      </c>
    </row>
    <row r="9" spans="1:7" x14ac:dyDescent="0.45">
      <c r="A9" s="4">
        <v>45812</v>
      </c>
      <c r="B9">
        <v>141.91999999999999</v>
      </c>
      <c r="C9">
        <v>142.19</v>
      </c>
      <c r="D9">
        <v>142.38999999999999</v>
      </c>
      <c r="E9">
        <v>139.54</v>
      </c>
      <c r="F9" t="s">
        <v>490</v>
      </c>
      <c r="G9">
        <v>5.0000000000000001E-3</v>
      </c>
    </row>
    <row r="10" spans="1:7" x14ac:dyDescent="0.45">
      <c r="A10" s="4">
        <v>45813</v>
      </c>
      <c r="B10">
        <v>139.99</v>
      </c>
      <c r="C10">
        <v>142.16999999999999</v>
      </c>
      <c r="D10">
        <v>144</v>
      </c>
      <c r="E10">
        <v>138.83000000000001</v>
      </c>
      <c r="F10" t="s">
        <v>489</v>
      </c>
      <c r="G10">
        <v>-1.3599999999999999E-2</v>
      </c>
    </row>
    <row r="11" spans="1:7" x14ac:dyDescent="0.45">
      <c r="A11" s="4">
        <v>45814</v>
      </c>
      <c r="B11">
        <v>141.72</v>
      </c>
      <c r="C11">
        <v>142.51</v>
      </c>
      <c r="D11">
        <v>143.27000000000001</v>
      </c>
      <c r="E11">
        <v>141.51</v>
      </c>
      <c r="F11" t="s">
        <v>488</v>
      </c>
      <c r="G11">
        <v>1.24E-2</v>
      </c>
    </row>
    <row r="12" spans="1:7" x14ac:dyDescent="0.45">
      <c r="A12" s="4">
        <v>45817</v>
      </c>
      <c r="B12">
        <v>142.63</v>
      </c>
      <c r="C12">
        <v>143.19</v>
      </c>
      <c r="D12">
        <v>145</v>
      </c>
      <c r="E12">
        <v>141.94</v>
      </c>
      <c r="F12" t="s">
        <v>487</v>
      </c>
      <c r="G12">
        <v>6.4000000000000003E-3</v>
      </c>
    </row>
    <row r="13" spans="1:7" x14ac:dyDescent="0.45">
      <c r="A13" s="4">
        <v>45818</v>
      </c>
      <c r="B13">
        <v>143.96</v>
      </c>
      <c r="C13">
        <v>142.69</v>
      </c>
      <c r="D13">
        <v>144.29</v>
      </c>
      <c r="E13">
        <v>141.52000000000001</v>
      </c>
      <c r="F13" t="s">
        <v>486</v>
      </c>
      <c r="G13">
        <v>9.2999999999999992E-3</v>
      </c>
    </row>
    <row r="14" spans="1:7" x14ac:dyDescent="0.45">
      <c r="A14" s="4">
        <v>45819</v>
      </c>
      <c r="B14">
        <v>142.83000000000001</v>
      </c>
      <c r="C14">
        <v>144.61000000000001</v>
      </c>
      <c r="D14">
        <v>144.99</v>
      </c>
      <c r="E14">
        <v>141.87</v>
      </c>
      <c r="F14" t="s">
        <v>485</v>
      </c>
      <c r="G14">
        <v>-7.7999999999999996E-3</v>
      </c>
    </row>
    <row r="15" spans="1:7" x14ac:dyDescent="0.45">
      <c r="A15" s="4">
        <v>45820</v>
      </c>
      <c r="B15">
        <v>145</v>
      </c>
      <c r="C15">
        <v>141.97</v>
      </c>
      <c r="D15">
        <v>145</v>
      </c>
      <c r="E15">
        <v>141.85</v>
      </c>
      <c r="F15" t="s">
        <v>484</v>
      </c>
      <c r="G15">
        <v>1.52E-2</v>
      </c>
    </row>
    <row r="16" spans="1:7" x14ac:dyDescent="0.45">
      <c r="A16" s="4">
        <v>45821</v>
      </c>
      <c r="B16">
        <v>141.97</v>
      </c>
      <c r="C16">
        <v>142.47999999999999</v>
      </c>
      <c r="D16">
        <v>143.58000000000001</v>
      </c>
      <c r="E16">
        <v>140.85</v>
      </c>
      <c r="F16" t="s">
        <v>483</v>
      </c>
      <c r="G16">
        <v>-2.0899999999999998E-2</v>
      </c>
    </row>
    <row r="17" spans="1:7" x14ac:dyDescent="0.45">
      <c r="A17" s="4">
        <v>45824</v>
      </c>
      <c r="B17">
        <v>144.69</v>
      </c>
      <c r="C17">
        <v>143.35</v>
      </c>
      <c r="D17">
        <v>146.18</v>
      </c>
      <c r="E17">
        <v>143.19999999999999</v>
      </c>
      <c r="F17" t="s">
        <v>482</v>
      </c>
      <c r="G17">
        <v>1.9199999999999998E-2</v>
      </c>
    </row>
    <row r="18" spans="1:7" x14ac:dyDescent="0.45">
      <c r="A18" s="4">
        <v>45825</v>
      </c>
      <c r="B18">
        <v>144.12</v>
      </c>
      <c r="C18">
        <v>144.49</v>
      </c>
      <c r="D18">
        <v>145.22</v>
      </c>
      <c r="E18">
        <v>143.78</v>
      </c>
      <c r="F18" t="s">
        <v>481</v>
      </c>
      <c r="G18">
        <v>-3.8999999999999998E-3</v>
      </c>
    </row>
    <row r="19" spans="1:7" x14ac:dyDescent="0.45">
      <c r="A19" s="4">
        <v>45826</v>
      </c>
      <c r="B19">
        <v>145.47999999999999</v>
      </c>
      <c r="C19">
        <v>144.01</v>
      </c>
      <c r="D19">
        <v>145.65</v>
      </c>
      <c r="E19">
        <v>143.12</v>
      </c>
      <c r="F19" t="s">
        <v>480</v>
      </c>
      <c r="G19">
        <v>9.4000000000000004E-3</v>
      </c>
    </row>
    <row r="20" spans="1:7" x14ac:dyDescent="0.45">
      <c r="A20" s="4">
        <v>45828</v>
      </c>
      <c r="B20">
        <v>143.85</v>
      </c>
      <c r="C20">
        <v>145.44999999999999</v>
      </c>
      <c r="D20">
        <v>146.19999999999999</v>
      </c>
      <c r="E20">
        <v>142.65</v>
      </c>
      <c r="F20" t="s">
        <v>479</v>
      </c>
      <c r="G20">
        <v>-1.12E-2</v>
      </c>
    </row>
    <row r="21" spans="1:7" x14ac:dyDescent="0.45">
      <c r="A21" s="4">
        <v>45831</v>
      </c>
      <c r="B21">
        <v>144.16999999999999</v>
      </c>
      <c r="C21">
        <v>142.5</v>
      </c>
      <c r="D21">
        <v>144.78</v>
      </c>
      <c r="E21">
        <v>142.03</v>
      </c>
      <c r="F21" t="s">
        <v>478</v>
      </c>
      <c r="G21">
        <v>2.2000000000000001E-3</v>
      </c>
    </row>
    <row r="22" spans="1:7" x14ac:dyDescent="0.45">
      <c r="A22" s="4">
        <v>45832</v>
      </c>
      <c r="B22">
        <v>147.9</v>
      </c>
      <c r="C22">
        <v>145.56</v>
      </c>
      <c r="D22">
        <v>147.96</v>
      </c>
      <c r="E22">
        <v>145.5</v>
      </c>
      <c r="F22" t="s">
        <v>477</v>
      </c>
      <c r="G22">
        <v>2.5899999999999999E-2</v>
      </c>
    </row>
    <row r="23" spans="1:7" x14ac:dyDescent="0.45">
      <c r="A23" s="4">
        <v>45833</v>
      </c>
      <c r="B23">
        <v>154.31</v>
      </c>
      <c r="C23">
        <v>149.27000000000001</v>
      </c>
      <c r="D23">
        <v>154.44999999999999</v>
      </c>
      <c r="E23">
        <v>149.26</v>
      </c>
      <c r="F23" t="s">
        <v>476</v>
      </c>
      <c r="G23">
        <v>4.3299999999999998E-2</v>
      </c>
    </row>
    <row r="24" spans="1:7" x14ac:dyDescent="0.45">
      <c r="A24" s="4">
        <v>45834</v>
      </c>
      <c r="B24">
        <v>155.02000000000001</v>
      </c>
      <c r="C24">
        <v>155.97999999999999</v>
      </c>
      <c r="D24">
        <v>156.71</v>
      </c>
      <c r="E24">
        <v>154</v>
      </c>
      <c r="F24" t="s">
        <v>475</v>
      </c>
      <c r="G24">
        <v>4.5999999999999999E-3</v>
      </c>
    </row>
    <row r="25" spans="1:7" x14ac:dyDescent="0.45">
      <c r="A25" s="4">
        <v>45835</v>
      </c>
      <c r="B25">
        <v>157.75</v>
      </c>
      <c r="C25">
        <v>156.04</v>
      </c>
      <c r="D25">
        <v>158.71</v>
      </c>
      <c r="E25">
        <v>155.26</v>
      </c>
      <c r="F25" t="s">
        <v>474</v>
      </c>
      <c r="G25">
        <v>1.7600000000000001E-2</v>
      </c>
    </row>
    <row r="26" spans="1:7" x14ac:dyDescent="0.45">
      <c r="A26" s="4">
        <v>45838</v>
      </c>
      <c r="B26">
        <v>157.99</v>
      </c>
      <c r="C26">
        <v>158.4</v>
      </c>
      <c r="D26">
        <v>158.66</v>
      </c>
      <c r="E26">
        <v>155.96</v>
      </c>
      <c r="F26" t="s">
        <v>473</v>
      </c>
      <c r="G26">
        <v>1.5E-3</v>
      </c>
    </row>
    <row r="27" spans="1:7" x14ac:dyDescent="0.45">
      <c r="A27" s="4">
        <v>45839</v>
      </c>
      <c r="B27">
        <v>153.30000000000001</v>
      </c>
      <c r="C27">
        <v>156.29</v>
      </c>
      <c r="D27">
        <v>157.19999999999999</v>
      </c>
      <c r="E27">
        <v>151.49</v>
      </c>
      <c r="F27" t="s">
        <v>472</v>
      </c>
      <c r="G27">
        <v>-2.9700000000000001E-2</v>
      </c>
    </row>
    <row r="28" spans="1:7" x14ac:dyDescent="0.45">
      <c r="A28" s="4">
        <v>45840</v>
      </c>
      <c r="B28">
        <v>157.25</v>
      </c>
      <c r="C28">
        <v>152.97999999999999</v>
      </c>
      <c r="D28">
        <v>157.6</v>
      </c>
      <c r="E28">
        <v>152.97</v>
      </c>
      <c r="F28" t="s">
        <v>471</v>
      </c>
      <c r="G28">
        <v>2.58E-2</v>
      </c>
    </row>
    <row r="29" spans="1:7" x14ac:dyDescent="0.45">
      <c r="A29" s="4">
        <v>45841</v>
      </c>
      <c r="B29">
        <v>159.34</v>
      </c>
      <c r="C29">
        <v>158.37</v>
      </c>
      <c r="D29">
        <v>160.97999999999999</v>
      </c>
      <c r="E29">
        <v>157.77000000000001</v>
      </c>
      <c r="F29" t="s">
        <v>470</v>
      </c>
      <c r="G29">
        <v>1.3299999999999999E-2</v>
      </c>
    </row>
    <row r="30" spans="1:7" x14ac:dyDescent="0.45">
      <c r="A30" s="4">
        <v>45845</v>
      </c>
      <c r="B30">
        <v>158.24</v>
      </c>
      <c r="C30">
        <v>158.19999999999999</v>
      </c>
      <c r="D30">
        <v>159.31</v>
      </c>
      <c r="E30">
        <v>157.34</v>
      </c>
      <c r="F30" t="s">
        <v>469</v>
      </c>
      <c r="G30">
        <v>-6.8999999999999999E-3</v>
      </c>
    </row>
    <row r="31" spans="1:7" x14ac:dyDescent="0.45">
      <c r="A31" s="4">
        <v>45846</v>
      </c>
      <c r="B31">
        <v>160</v>
      </c>
      <c r="C31">
        <v>159.33000000000001</v>
      </c>
      <c r="D31">
        <v>160.22</v>
      </c>
      <c r="E31">
        <v>158.38999999999999</v>
      </c>
      <c r="F31" t="s">
        <v>468</v>
      </c>
      <c r="G31">
        <v>1.11E-2</v>
      </c>
    </row>
    <row r="32" spans="1:7" x14ac:dyDescent="0.45">
      <c r="A32" s="4">
        <v>45847</v>
      </c>
      <c r="B32">
        <v>162.88</v>
      </c>
      <c r="C32">
        <v>161.22</v>
      </c>
      <c r="D32">
        <v>164.42</v>
      </c>
      <c r="E32">
        <v>161.16</v>
      </c>
      <c r="F32" t="s">
        <v>467</v>
      </c>
      <c r="G32">
        <v>1.7999999999999999E-2</v>
      </c>
    </row>
    <row r="33" spans="1:7" x14ac:dyDescent="0.45">
      <c r="A33" s="4">
        <v>45848</v>
      </c>
      <c r="B33">
        <v>164.1</v>
      </c>
      <c r="C33">
        <v>164.32</v>
      </c>
      <c r="D33">
        <v>164.5</v>
      </c>
      <c r="E33">
        <v>161.61000000000001</v>
      </c>
      <c r="F33" t="s">
        <v>466</v>
      </c>
      <c r="G33">
        <v>7.4999999999999997E-3</v>
      </c>
    </row>
    <row r="34" spans="1:7" x14ac:dyDescent="0.45">
      <c r="A34" s="4">
        <v>45849</v>
      </c>
      <c r="B34">
        <v>164.92</v>
      </c>
      <c r="C34">
        <v>163.71</v>
      </c>
      <c r="D34">
        <v>167.89</v>
      </c>
      <c r="E34">
        <v>163.47</v>
      </c>
      <c r="F34" t="s">
        <v>465</v>
      </c>
      <c r="G34">
        <v>5.0000000000000001E-3</v>
      </c>
    </row>
    <row r="35" spans="1:7" x14ac:dyDescent="0.45">
      <c r="A35" s="4">
        <v>45852</v>
      </c>
      <c r="B35">
        <v>164.07</v>
      </c>
      <c r="C35">
        <v>165.37</v>
      </c>
      <c r="D35">
        <v>165.49</v>
      </c>
      <c r="E35">
        <v>162.02000000000001</v>
      </c>
      <c r="F35" t="s">
        <v>464</v>
      </c>
      <c r="G35">
        <v>-5.1999999999999998E-3</v>
      </c>
    </row>
    <row r="36" spans="1:7" x14ac:dyDescent="0.45">
      <c r="A36" s="4">
        <v>45853</v>
      </c>
      <c r="B36">
        <v>170.7</v>
      </c>
      <c r="C36">
        <v>171.19</v>
      </c>
      <c r="D36">
        <v>172.4</v>
      </c>
      <c r="E36">
        <v>169.2</v>
      </c>
      <c r="F36" t="s">
        <v>463</v>
      </c>
      <c r="G36">
        <v>4.0399999999999998E-2</v>
      </c>
    </row>
    <row r="37" spans="1:7" x14ac:dyDescent="0.45">
      <c r="A37" s="4">
        <v>45854</v>
      </c>
      <c r="B37">
        <v>171.37</v>
      </c>
      <c r="C37">
        <v>171.06</v>
      </c>
      <c r="D37">
        <v>171.75</v>
      </c>
      <c r="E37">
        <v>168.9</v>
      </c>
      <c r="F37" t="s">
        <v>462</v>
      </c>
      <c r="G37">
        <v>3.8999999999999998E-3</v>
      </c>
    </row>
    <row r="38" spans="1:7" x14ac:dyDescent="0.45">
      <c r="A38" s="4">
        <v>45855</v>
      </c>
      <c r="B38">
        <v>173</v>
      </c>
      <c r="C38">
        <v>172.02</v>
      </c>
      <c r="D38">
        <v>174.16</v>
      </c>
      <c r="E38">
        <v>170.83</v>
      </c>
      <c r="F38" t="s">
        <v>461</v>
      </c>
      <c r="G38">
        <v>9.4999999999999998E-3</v>
      </c>
    </row>
    <row r="39" spans="1:7" x14ac:dyDescent="0.45">
      <c r="A39" s="4">
        <v>45856</v>
      </c>
      <c r="B39">
        <v>172.41</v>
      </c>
      <c r="C39">
        <v>173.64</v>
      </c>
      <c r="D39">
        <v>174.25</v>
      </c>
      <c r="E39">
        <v>171.26</v>
      </c>
      <c r="F39" t="s">
        <v>460</v>
      </c>
      <c r="G39">
        <v>-3.3999999999999998E-3</v>
      </c>
    </row>
    <row r="40" spans="1:7" x14ac:dyDescent="0.45">
      <c r="A40" s="4">
        <v>45859</v>
      </c>
      <c r="B40">
        <v>171.38</v>
      </c>
      <c r="C40">
        <v>172.75</v>
      </c>
      <c r="D40">
        <v>173.38</v>
      </c>
      <c r="E40">
        <v>171</v>
      </c>
      <c r="F40" t="s">
        <v>459</v>
      </c>
      <c r="G40">
        <v>-6.0000000000000001E-3</v>
      </c>
    </row>
    <row r="41" spans="1:7" x14ac:dyDescent="0.45">
      <c r="A41" s="4">
        <v>45860</v>
      </c>
      <c r="B41">
        <v>167.03</v>
      </c>
      <c r="C41">
        <v>171.34</v>
      </c>
      <c r="D41">
        <v>171.39</v>
      </c>
      <c r="E41">
        <v>164.58</v>
      </c>
      <c r="F41" t="s">
        <v>458</v>
      </c>
      <c r="G41">
        <v>-2.5399999999999999E-2</v>
      </c>
    </row>
    <row r="42" spans="1:7" x14ac:dyDescent="0.45">
      <c r="A42" s="4">
        <v>45861</v>
      </c>
      <c r="B42">
        <v>170.78</v>
      </c>
      <c r="C42">
        <v>169.53</v>
      </c>
      <c r="D42">
        <v>171.26</v>
      </c>
      <c r="E42">
        <v>167.97</v>
      </c>
      <c r="F42" t="s">
        <v>454</v>
      </c>
      <c r="G42">
        <v>2.2499999999999999E-2</v>
      </c>
    </row>
    <row r="43" spans="1:7" x14ac:dyDescent="0.45">
      <c r="A43" s="4">
        <v>45862</v>
      </c>
      <c r="B43">
        <v>173.74</v>
      </c>
      <c r="C43">
        <v>172.44</v>
      </c>
      <c r="D43">
        <v>173.83</v>
      </c>
      <c r="E43">
        <v>171.3</v>
      </c>
      <c r="F43" t="s">
        <v>457</v>
      </c>
      <c r="G43">
        <v>1.7299999999999999E-2</v>
      </c>
    </row>
    <row r="44" spans="1:7" x14ac:dyDescent="0.45">
      <c r="A44" s="4">
        <v>45863</v>
      </c>
      <c r="B44">
        <v>173.5</v>
      </c>
      <c r="C44">
        <v>173.61</v>
      </c>
      <c r="D44">
        <v>174.72</v>
      </c>
      <c r="E44">
        <v>172.96</v>
      </c>
      <c r="F44" t="s">
        <v>456</v>
      </c>
      <c r="G44">
        <v>-1.4E-3</v>
      </c>
    </row>
    <row r="45" spans="1:7" x14ac:dyDescent="0.45">
      <c r="A45" s="4">
        <v>45866</v>
      </c>
      <c r="B45">
        <v>176.75</v>
      </c>
      <c r="C45">
        <v>174.02</v>
      </c>
      <c r="D45">
        <v>177</v>
      </c>
      <c r="E45">
        <v>173.97</v>
      </c>
      <c r="F45" t="s">
        <v>455</v>
      </c>
      <c r="G45">
        <v>1.8700000000000001E-2</v>
      </c>
    </row>
    <row r="46" spans="1:7" x14ac:dyDescent="0.45">
      <c r="A46" s="4">
        <v>45867</v>
      </c>
      <c r="B46">
        <v>175.51</v>
      </c>
      <c r="C46">
        <v>177.96</v>
      </c>
      <c r="D46">
        <v>179.38</v>
      </c>
      <c r="E46">
        <v>175.02</v>
      </c>
      <c r="F46" t="s">
        <v>454</v>
      </c>
      <c r="G46">
        <v>-7.0000000000000001E-3</v>
      </c>
    </row>
    <row r="47" spans="1:7" x14ac:dyDescent="0.45">
      <c r="A47" s="4">
        <v>45868</v>
      </c>
      <c r="B47">
        <v>179.27</v>
      </c>
      <c r="C47">
        <v>176.51</v>
      </c>
      <c r="D47">
        <v>179.89</v>
      </c>
      <c r="E47">
        <v>176.04</v>
      </c>
      <c r="F47" t="s">
        <v>453</v>
      </c>
      <c r="G47">
        <v>2.1399999999999999E-2</v>
      </c>
    </row>
    <row r="48" spans="1:7" x14ac:dyDescent="0.45">
      <c r="A48" s="4">
        <v>45869</v>
      </c>
      <c r="B48">
        <v>177.87</v>
      </c>
      <c r="C48">
        <v>182.9</v>
      </c>
      <c r="D48">
        <v>183.3</v>
      </c>
      <c r="E48">
        <v>175.93</v>
      </c>
      <c r="F48" t="s">
        <v>452</v>
      </c>
      <c r="G48">
        <v>-7.7999999999999996E-3</v>
      </c>
    </row>
    <row r="49" spans="1:7" x14ac:dyDescent="0.45">
      <c r="A49" s="4">
        <v>45870</v>
      </c>
      <c r="B49">
        <v>173.72</v>
      </c>
      <c r="C49">
        <v>174.09</v>
      </c>
      <c r="D49">
        <v>176.54</v>
      </c>
      <c r="E49">
        <v>170.89</v>
      </c>
      <c r="F49" t="s">
        <v>451</v>
      </c>
      <c r="G49">
        <v>-2.3300000000000001E-2</v>
      </c>
    </row>
    <row r="50" spans="1:7" x14ac:dyDescent="0.45">
      <c r="A50" s="4">
        <v>45873</v>
      </c>
      <c r="B50">
        <v>180</v>
      </c>
      <c r="C50">
        <v>175.16</v>
      </c>
      <c r="D50">
        <v>180.2</v>
      </c>
      <c r="E50">
        <v>174.52</v>
      </c>
      <c r="F50" t="s">
        <v>450</v>
      </c>
      <c r="G50">
        <v>3.6200000000000003E-2</v>
      </c>
    </row>
    <row r="51" spans="1:7" x14ac:dyDescent="0.45">
      <c r="A51" s="4">
        <v>45874</v>
      </c>
      <c r="B51">
        <v>178.26</v>
      </c>
      <c r="C51">
        <v>179.62</v>
      </c>
      <c r="D51">
        <v>180.26</v>
      </c>
      <c r="E51">
        <v>175.9</v>
      </c>
      <c r="F51" t="s">
        <v>449</v>
      </c>
      <c r="G51">
        <v>-9.7000000000000003E-3</v>
      </c>
    </row>
    <row r="52" spans="1:7" x14ac:dyDescent="0.45">
      <c r="A52" s="4">
        <v>45875</v>
      </c>
      <c r="B52">
        <v>179.42</v>
      </c>
      <c r="C52">
        <v>176.32</v>
      </c>
      <c r="D52">
        <v>179.9</v>
      </c>
      <c r="E52">
        <v>176.25</v>
      </c>
      <c r="F52" t="s">
        <v>448</v>
      </c>
      <c r="G52">
        <v>6.4999999999999997E-3</v>
      </c>
    </row>
    <row r="53" spans="1:7" x14ac:dyDescent="0.45">
      <c r="A53" s="4">
        <v>45876</v>
      </c>
      <c r="B53">
        <v>180.77</v>
      </c>
      <c r="C53">
        <v>181.57</v>
      </c>
      <c r="D53">
        <v>183.88</v>
      </c>
      <c r="E53">
        <v>178.79</v>
      </c>
      <c r="F53" t="s">
        <v>447</v>
      </c>
      <c r="G53">
        <v>7.4999999999999997E-3</v>
      </c>
    </row>
    <row r="54" spans="1:7" x14ac:dyDescent="0.45">
      <c r="A54" s="4">
        <v>45877</v>
      </c>
      <c r="B54">
        <v>182.7</v>
      </c>
      <c r="C54">
        <v>181.55</v>
      </c>
      <c r="D54">
        <v>183.3</v>
      </c>
      <c r="E54">
        <v>180.4</v>
      </c>
      <c r="F54" t="s">
        <v>446</v>
      </c>
      <c r="G54">
        <v>1.0699999999999999E-2</v>
      </c>
    </row>
    <row r="55" spans="1:7" x14ac:dyDescent="0.45">
      <c r="A55" s="4">
        <v>45880</v>
      </c>
      <c r="B55">
        <v>182.06</v>
      </c>
      <c r="C55">
        <v>182.05</v>
      </c>
      <c r="D55">
        <v>183.84</v>
      </c>
      <c r="E55">
        <v>180.25</v>
      </c>
      <c r="F55" t="s">
        <v>445</v>
      </c>
      <c r="G55">
        <v>-3.5000000000000001E-3</v>
      </c>
    </row>
    <row r="56" spans="1:7" x14ac:dyDescent="0.45">
      <c r="A56" s="4">
        <v>45881</v>
      </c>
      <c r="B56">
        <v>183.16</v>
      </c>
      <c r="C56">
        <v>182.96</v>
      </c>
      <c r="D56">
        <v>184.48</v>
      </c>
      <c r="E56">
        <v>179.46</v>
      </c>
      <c r="F56" t="s">
        <v>444</v>
      </c>
      <c r="G56">
        <v>6.0000000000000001E-3</v>
      </c>
    </row>
    <row r="57" spans="1:7" x14ac:dyDescent="0.45">
      <c r="A57" s="4">
        <v>45882</v>
      </c>
      <c r="B57">
        <v>181.59</v>
      </c>
      <c r="C57">
        <v>182.62</v>
      </c>
      <c r="D57">
        <v>183.97</v>
      </c>
      <c r="E57">
        <v>179.35</v>
      </c>
      <c r="F57" t="s">
        <v>443</v>
      </c>
      <c r="G57">
        <v>-8.6E-3</v>
      </c>
    </row>
    <row r="58" spans="1:7" x14ac:dyDescent="0.45">
      <c r="A58" s="4">
        <v>45883</v>
      </c>
      <c r="B58">
        <v>182.02</v>
      </c>
      <c r="C58">
        <v>179.75</v>
      </c>
      <c r="D58">
        <v>183.02</v>
      </c>
      <c r="E58">
        <v>179.46</v>
      </c>
      <c r="F58" t="s">
        <v>442</v>
      </c>
      <c r="G58">
        <v>2.3999999999999998E-3</v>
      </c>
    </row>
    <row r="59" spans="1:7" x14ac:dyDescent="0.45">
      <c r="A59" s="4">
        <v>45884</v>
      </c>
      <c r="B59">
        <v>180.45</v>
      </c>
      <c r="C59">
        <v>181.88</v>
      </c>
      <c r="D59">
        <v>181.9</v>
      </c>
      <c r="E59">
        <v>178.04</v>
      </c>
      <c r="F59" t="s">
        <v>441</v>
      </c>
      <c r="G59">
        <v>-8.6E-3</v>
      </c>
    </row>
    <row r="60" spans="1:7" x14ac:dyDescent="0.45">
      <c r="A60" s="4">
        <v>45887</v>
      </c>
      <c r="B60">
        <v>182.01</v>
      </c>
      <c r="C60">
        <v>180.6</v>
      </c>
      <c r="D60">
        <v>182.94</v>
      </c>
      <c r="E60">
        <v>180.59</v>
      </c>
      <c r="F60" t="s">
        <v>440</v>
      </c>
      <c r="G60">
        <v>8.6E-3</v>
      </c>
    </row>
    <row r="61" spans="1:7" x14ac:dyDescent="0.45">
      <c r="A61" s="4">
        <v>45888</v>
      </c>
      <c r="B61">
        <v>175.64</v>
      </c>
      <c r="C61">
        <v>182.43</v>
      </c>
      <c r="D61">
        <v>182.5</v>
      </c>
      <c r="E61">
        <v>175.49</v>
      </c>
      <c r="F61" t="s">
        <v>439</v>
      </c>
      <c r="G61">
        <v>-3.5000000000000003E-2</v>
      </c>
    </row>
    <row r="62" spans="1:7" x14ac:dyDescent="0.45">
      <c r="A62" s="4">
        <v>45889</v>
      </c>
      <c r="B62">
        <v>175.4</v>
      </c>
      <c r="C62">
        <v>175.16</v>
      </c>
      <c r="D62">
        <v>176</v>
      </c>
      <c r="E62">
        <v>168.8</v>
      </c>
      <c r="F62" t="s">
        <v>438</v>
      </c>
      <c r="G62">
        <v>-1.4E-3</v>
      </c>
    </row>
    <row r="63" spans="1:7" x14ac:dyDescent="0.45">
      <c r="A63" s="4">
        <v>45890</v>
      </c>
      <c r="B63">
        <v>174.98</v>
      </c>
      <c r="C63">
        <v>174.85</v>
      </c>
      <c r="D63">
        <v>176.9</v>
      </c>
      <c r="E63">
        <v>173.81</v>
      </c>
      <c r="F63" t="s">
        <v>437</v>
      </c>
      <c r="G63">
        <v>-2.3999999999999998E-3</v>
      </c>
    </row>
    <row r="64" spans="1:7" x14ac:dyDescent="0.45">
      <c r="A64" s="4">
        <v>45891</v>
      </c>
      <c r="B64">
        <v>177.99</v>
      </c>
      <c r="C64">
        <v>172.61</v>
      </c>
      <c r="D64">
        <v>178.59</v>
      </c>
      <c r="E64">
        <v>171.2</v>
      </c>
      <c r="F64" t="s">
        <v>436</v>
      </c>
      <c r="G64">
        <v>1.72E-2</v>
      </c>
    </row>
    <row r="65" spans="1:7" x14ac:dyDescent="0.45">
      <c r="A65" s="4">
        <v>45894</v>
      </c>
      <c r="B65">
        <v>179.81</v>
      </c>
      <c r="C65">
        <v>178.35</v>
      </c>
      <c r="D65">
        <v>181.91</v>
      </c>
      <c r="E65">
        <v>176.57</v>
      </c>
      <c r="F65" t="s">
        <v>435</v>
      </c>
      <c r="G65">
        <v>1.0200000000000001E-2</v>
      </c>
    </row>
    <row r="66" spans="1:7" x14ac:dyDescent="0.45">
      <c r="A66" s="4">
        <v>45895</v>
      </c>
      <c r="B66">
        <v>181.77</v>
      </c>
      <c r="C66">
        <v>180.05</v>
      </c>
      <c r="D66">
        <v>182.39</v>
      </c>
      <c r="E66">
        <v>178.81</v>
      </c>
      <c r="F66" t="s">
        <v>434</v>
      </c>
      <c r="G66">
        <v>1.09E-2</v>
      </c>
    </row>
    <row r="67" spans="1:7" x14ac:dyDescent="0.45">
      <c r="A67" s="4">
        <v>45896</v>
      </c>
      <c r="B67">
        <v>181.6</v>
      </c>
      <c r="C67">
        <v>181.98</v>
      </c>
      <c r="D67">
        <v>182.49</v>
      </c>
      <c r="E67">
        <v>179.1</v>
      </c>
      <c r="F67" t="s">
        <v>433</v>
      </c>
      <c r="G67">
        <v>-8.9999999999999998E-4</v>
      </c>
    </row>
    <row r="68" spans="1:7" x14ac:dyDescent="0.45">
      <c r="A68" s="4">
        <v>45897</v>
      </c>
      <c r="B68">
        <v>180.17</v>
      </c>
      <c r="C68">
        <v>180.82</v>
      </c>
      <c r="D68">
        <v>184.47</v>
      </c>
      <c r="E68">
        <v>176.41</v>
      </c>
      <c r="F68" t="s">
        <v>432</v>
      </c>
      <c r="G68">
        <v>-7.9000000000000008E-3</v>
      </c>
    </row>
    <row r="69" spans="1:7" x14ac:dyDescent="0.45">
      <c r="A69" s="4">
        <v>45898</v>
      </c>
      <c r="B69">
        <v>174.18</v>
      </c>
      <c r="C69">
        <v>178.11</v>
      </c>
      <c r="D69">
        <v>178.15</v>
      </c>
      <c r="E69">
        <v>173.15</v>
      </c>
      <c r="F69" t="s">
        <v>431</v>
      </c>
      <c r="G69">
        <v>-3.32E-2</v>
      </c>
    </row>
    <row r="70" spans="1:7" x14ac:dyDescent="0.45">
      <c r="A70" s="4">
        <v>45902</v>
      </c>
      <c r="B70">
        <v>170.78</v>
      </c>
      <c r="C70">
        <v>170</v>
      </c>
      <c r="D70">
        <v>172.38</v>
      </c>
      <c r="E70">
        <v>167.22</v>
      </c>
      <c r="F70" t="s">
        <v>430</v>
      </c>
      <c r="G70">
        <v>-1.95E-2</v>
      </c>
    </row>
    <row r="71" spans="1:7" x14ac:dyDescent="0.45">
      <c r="A71" s="4">
        <v>45903</v>
      </c>
      <c r="B71">
        <v>170.62</v>
      </c>
      <c r="C71">
        <v>171.06</v>
      </c>
      <c r="D71">
        <v>172.41</v>
      </c>
      <c r="E71">
        <v>168.88</v>
      </c>
      <c r="F71" t="s">
        <v>429</v>
      </c>
      <c r="G71">
        <v>-8.9999999999999998E-4</v>
      </c>
    </row>
    <row r="72" spans="1:7" x14ac:dyDescent="0.45">
      <c r="A72" s="4">
        <v>45904</v>
      </c>
      <c r="B72">
        <v>171.66</v>
      </c>
      <c r="C72">
        <v>170.57</v>
      </c>
      <c r="D72">
        <v>171.86</v>
      </c>
      <c r="E72">
        <v>169.41</v>
      </c>
      <c r="F72" t="s">
        <v>428</v>
      </c>
      <c r="G72">
        <v>6.1000000000000004E-3</v>
      </c>
    </row>
    <row r="73" spans="1:7" x14ac:dyDescent="0.45">
      <c r="A73" s="4">
        <v>45905</v>
      </c>
      <c r="B73">
        <v>167.02</v>
      </c>
      <c r="C73">
        <v>168.03</v>
      </c>
      <c r="D73">
        <v>169.03</v>
      </c>
      <c r="E73">
        <v>164.07</v>
      </c>
      <c r="F73" t="s">
        <v>427</v>
      </c>
      <c r="G73">
        <v>-2.7E-2</v>
      </c>
    </row>
    <row r="74" spans="1:7" x14ac:dyDescent="0.45">
      <c r="A74" s="4">
        <v>45908</v>
      </c>
      <c r="B74">
        <v>168.31</v>
      </c>
      <c r="C74">
        <v>167.55</v>
      </c>
      <c r="D74">
        <v>170.96</v>
      </c>
      <c r="E74">
        <v>167.35</v>
      </c>
      <c r="F74" t="s">
        <v>426</v>
      </c>
      <c r="G74">
        <v>7.7000000000000002E-3</v>
      </c>
    </row>
    <row r="75" spans="1:7" x14ac:dyDescent="0.45">
      <c r="A75" s="4">
        <v>45909</v>
      </c>
      <c r="B75">
        <v>170.76</v>
      </c>
      <c r="C75">
        <v>169.09</v>
      </c>
      <c r="D75">
        <v>170.98</v>
      </c>
      <c r="E75">
        <v>166.74</v>
      </c>
      <c r="F75" t="s">
        <v>425</v>
      </c>
      <c r="G75">
        <v>1.46E-2</v>
      </c>
    </row>
    <row r="76" spans="1:7" x14ac:dyDescent="0.45">
      <c r="A76" s="4">
        <v>45910</v>
      </c>
      <c r="B76">
        <v>177.33</v>
      </c>
      <c r="C76">
        <v>176.64</v>
      </c>
      <c r="D76">
        <v>179.29</v>
      </c>
      <c r="E76">
        <v>175.47</v>
      </c>
      <c r="F76" t="s">
        <v>424</v>
      </c>
      <c r="G76">
        <v>3.85E-2</v>
      </c>
    </row>
    <row r="77" spans="1:7" x14ac:dyDescent="0.45">
      <c r="A77" s="4">
        <v>45911</v>
      </c>
      <c r="B77">
        <v>177.17</v>
      </c>
      <c r="C77">
        <v>179.68</v>
      </c>
      <c r="D77">
        <v>180.28</v>
      </c>
      <c r="E77">
        <v>176.48</v>
      </c>
      <c r="F77" t="s">
        <v>423</v>
      </c>
      <c r="G77">
        <v>-8.9999999999999998E-4</v>
      </c>
    </row>
    <row r="78" spans="1:7" x14ac:dyDescent="0.45">
      <c r="A78" s="4">
        <v>45912</v>
      </c>
      <c r="B78">
        <v>177.82</v>
      </c>
      <c r="C78">
        <v>177.77</v>
      </c>
      <c r="D78">
        <v>178.6</v>
      </c>
      <c r="E78">
        <v>176.45</v>
      </c>
      <c r="F78" t="s">
        <v>422</v>
      </c>
      <c r="G78">
        <v>3.7000000000000002E-3</v>
      </c>
    </row>
    <row r="79" spans="1:7" x14ac:dyDescent="0.45">
      <c r="A79" s="4">
        <v>45915</v>
      </c>
      <c r="B79">
        <v>177.75</v>
      </c>
      <c r="C79">
        <v>175.67</v>
      </c>
      <c r="D79">
        <v>178.85</v>
      </c>
      <c r="E79">
        <v>174.51</v>
      </c>
      <c r="F79" t="s">
        <v>421</v>
      </c>
      <c r="G79">
        <v>-4.0000000000000002E-4</v>
      </c>
    </row>
    <row r="80" spans="1:7" x14ac:dyDescent="0.45">
      <c r="A80" s="4">
        <v>45916</v>
      </c>
      <c r="B80">
        <v>174.88</v>
      </c>
      <c r="C80">
        <v>177</v>
      </c>
      <c r="D80">
        <v>177.5</v>
      </c>
      <c r="E80">
        <v>174.38</v>
      </c>
      <c r="F80" t="s">
        <v>420</v>
      </c>
      <c r="G80">
        <v>-1.61E-2</v>
      </c>
    </row>
    <row r="81" spans="1:7" x14ac:dyDescent="0.45">
      <c r="A81" s="4">
        <v>45917</v>
      </c>
      <c r="B81">
        <v>170.29</v>
      </c>
      <c r="C81">
        <v>172.64</v>
      </c>
      <c r="D81">
        <v>173.2</v>
      </c>
      <c r="E81">
        <v>168.41</v>
      </c>
      <c r="F81" t="s">
        <v>419</v>
      </c>
      <c r="G81">
        <v>-2.6200000000000001E-2</v>
      </c>
    </row>
    <row r="82" spans="1:7" x14ac:dyDescent="0.45">
      <c r="A82" s="4">
        <v>45918</v>
      </c>
      <c r="B82">
        <v>176.24</v>
      </c>
      <c r="C82">
        <v>173.98</v>
      </c>
      <c r="D82">
        <v>177.1</v>
      </c>
      <c r="E82">
        <v>172.96</v>
      </c>
      <c r="F82" t="s">
        <v>418</v>
      </c>
      <c r="G82">
        <v>3.49E-2</v>
      </c>
    </row>
    <row r="83" spans="1:7" x14ac:dyDescent="0.45">
      <c r="A83" s="4">
        <v>45919</v>
      </c>
      <c r="B83">
        <v>176.67</v>
      </c>
      <c r="C83">
        <v>175.77</v>
      </c>
      <c r="D83">
        <v>178.08</v>
      </c>
      <c r="E83">
        <v>175.18</v>
      </c>
      <c r="F83" t="s">
        <v>417</v>
      </c>
      <c r="G83">
        <v>2.3999999999999998E-3</v>
      </c>
    </row>
    <row r="84" spans="1:7" x14ac:dyDescent="0.45">
      <c r="A84" s="4">
        <v>45922</v>
      </c>
      <c r="B84">
        <v>183.61</v>
      </c>
      <c r="C84">
        <v>175.3</v>
      </c>
      <c r="D84">
        <v>184.55</v>
      </c>
      <c r="E84">
        <v>174.71</v>
      </c>
      <c r="F84" t="s">
        <v>416</v>
      </c>
      <c r="G84">
        <v>3.9300000000000002E-2</v>
      </c>
    </row>
    <row r="85" spans="1:7" x14ac:dyDescent="0.45">
      <c r="A85" s="4">
        <v>45923</v>
      </c>
      <c r="B85">
        <v>178.43</v>
      </c>
      <c r="C85">
        <v>181.97</v>
      </c>
      <c r="D85">
        <v>182.42</v>
      </c>
      <c r="E85">
        <v>176.21</v>
      </c>
      <c r="F85" t="s">
        <v>415</v>
      </c>
      <c r="G85">
        <v>-2.8199999999999999E-2</v>
      </c>
    </row>
    <row r="86" spans="1:7" x14ac:dyDescent="0.45">
      <c r="A86" s="4">
        <v>45924</v>
      </c>
      <c r="B86">
        <v>176.97</v>
      </c>
      <c r="C86">
        <v>179.77</v>
      </c>
      <c r="D86">
        <v>179.78</v>
      </c>
      <c r="E86">
        <v>175.4</v>
      </c>
      <c r="F86" t="s">
        <v>414</v>
      </c>
      <c r="G86">
        <v>-8.2000000000000007E-3</v>
      </c>
    </row>
    <row r="87" spans="1:7" x14ac:dyDescent="0.45">
      <c r="A87" s="4">
        <v>45925</v>
      </c>
      <c r="B87">
        <v>177.69</v>
      </c>
      <c r="C87">
        <v>174.48</v>
      </c>
      <c r="D87">
        <v>180.26</v>
      </c>
      <c r="E87">
        <v>173.13</v>
      </c>
      <c r="F87" t="s">
        <v>413</v>
      </c>
      <c r="G87">
        <v>4.1000000000000003E-3</v>
      </c>
    </row>
    <row r="88" spans="1:7" x14ac:dyDescent="0.45">
      <c r="A88" s="4">
        <v>45926</v>
      </c>
      <c r="B88">
        <v>178.19</v>
      </c>
      <c r="C88">
        <v>178.17</v>
      </c>
      <c r="D88">
        <v>179.77</v>
      </c>
      <c r="E88">
        <v>174.93</v>
      </c>
      <c r="F88" t="s">
        <v>412</v>
      </c>
      <c r="G88">
        <v>2.8E-3</v>
      </c>
    </row>
    <row r="89" spans="1:7" x14ac:dyDescent="0.45">
      <c r="A89" s="4">
        <v>45929</v>
      </c>
      <c r="B89">
        <v>181.85</v>
      </c>
      <c r="C89">
        <v>180.43</v>
      </c>
      <c r="D89">
        <v>184</v>
      </c>
      <c r="E89">
        <v>180.32</v>
      </c>
      <c r="F89" t="s">
        <v>411</v>
      </c>
      <c r="G89">
        <v>2.0500000000000001E-2</v>
      </c>
    </row>
    <row r="90" spans="1:7" x14ac:dyDescent="0.45">
      <c r="A90" s="4">
        <v>45930</v>
      </c>
      <c r="B90">
        <v>186.58</v>
      </c>
      <c r="C90">
        <v>182.08</v>
      </c>
      <c r="D90">
        <v>187.35</v>
      </c>
      <c r="E90">
        <v>181.48</v>
      </c>
      <c r="F90" t="s">
        <v>410</v>
      </c>
      <c r="G90">
        <v>2.5999999999999999E-2</v>
      </c>
    </row>
    <row r="91" spans="1:7" x14ac:dyDescent="0.45">
      <c r="A91" s="4">
        <v>45931</v>
      </c>
      <c r="B91">
        <v>187.24</v>
      </c>
      <c r="C91">
        <v>185.24</v>
      </c>
      <c r="D91">
        <v>188.14</v>
      </c>
      <c r="E91">
        <v>183.9</v>
      </c>
      <c r="F91" t="s">
        <v>409</v>
      </c>
      <c r="G91">
        <v>3.5000000000000001E-3</v>
      </c>
    </row>
    <row r="92" spans="1:7" x14ac:dyDescent="0.45">
      <c r="A92" s="4">
        <v>45932</v>
      </c>
      <c r="B92">
        <v>188.89</v>
      </c>
      <c r="C92">
        <v>189.6</v>
      </c>
      <c r="D92">
        <v>191.05</v>
      </c>
      <c r="E92">
        <v>188.06</v>
      </c>
      <c r="F92" t="s">
        <v>408</v>
      </c>
      <c r="G92">
        <v>8.8000000000000005E-3</v>
      </c>
    </row>
    <row r="93" spans="1:7" x14ac:dyDescent="0.45">
      <c r="A93" s="4">
        <v>45933</v>
      </c>
      <c r="B93">
        <v>187.62</v>
      </c>
      <c r="C93">
        <v>189.19</v>
      </c>
      <c r="D93">
        <v>190.36</v>
      </c>
      <c r="E93">
        <v>185.38</v>
      </c>
      <c r="F93" t="s">
        <v>407</v>
      </c>
      <c r="G93">
        <v>-6.7000000000000002E-3</v>
      </c>
    </row>
    <row r="94" spans="1:7" x14ac:dyDescent="0.45">
      <c r="A94" s="4">
        <v>45936</v>
      </c>
      <c r="B94">
        <v>185.54</v>
      </c>
      <c r="C94">
        <v>185.5</v>
      </c>
      <c r="D94">
        <v>187.23</v>
      </c>
      <c r="E94">
        <v>183.33</v>
      </c>
      <c r="F94" t="s">
        <v>406</v>
      </c>
      <c r="G94">
        <v>-1.11E-2</v>
      </c>
    </row>
    <row r="95" spans="1:7" x14ac:dyDescent="0.45">
      <c r="A95" s="4">
        <v>45937</v>
      </c>
      <c r="B95">
        <v>185.04</v>
      </c>
      <c r="C95">
        <v>186.23</v>
      </c>
      <c r="D95">
        <v>189.06</v>
      </c>
      <c r="E95">
        <v>184</v>
      </c>
      <c r="F95" t="s">
        <v>405</v>
      </c>
      <c r="G95">
        <v>-2.7000000000000001E-3</v>
      </c>
    </row>
    <row r="96" spans="1:7" x14ac:dyDescent="0.45">
      <c r="A96" s="4">
        <v>45938</v>
      </c>
      <c r="B96">
        <v>189.11</v>
      </c>
      <c r="C96">
        <v>186.57</v>
      </c>
      <c r="D96">
        <v>189.6</v>
      </c>
      <c r="E96">
        <v>186.54</v>
      </c>
      <c r="F96" t="s">
        <v>404</v>
      </c>
      <c r="G96">
        <v>2.1999999999999999E-2</v>
      </c>
    </row>
    <row r="97" spans="1:7" x14ac:dyDescent="0.45">
      <c r="A97" s="4">
        <v>45939</v>
      </c>
      <c r="B97">
        <v>192.57</v>
      </c>
      <c r="C97">
        <v>192.23</v>
      </c>
      <c r="D97">
        <v>195.3</v>
      </c>
      <c r="E97">
        <v>191.06</v>
      </c>
      <c r="F97" t="s">
        <v>403</v>
      </c>
      <c r="G97">
        <v>1.83E-2</v>
      </c>
    </row>
    <row r="98" spans="1:7" x14ac:dyDescent="0.45">
      <c r="A98" s="4">
        <v>45940</v>
      </c>
      <c r="B98">
        <v>183.16</v>
      </c>
      <c r="C98">
        <v>193.51</v>
      </c>
      <c r="D98">
        <v>195.62</v>
      </c>
      <c r="E98">
        <v>182.05</v>
      </c>
      <c r="F98" t="s">
        <v>402</v>
      </c>
      <c r="G98">
        <v>-4.8899999999999999E-2</v>
      </c>
    </row>
    <row r="99" spans="1:7" x14ac:dyDescent="0.45">
      <c r="A99" s="4">
        <v>45943</v>
      </c>
      <c r="B99">
        <v>188.32</v>
      </c>
      <c r="C99">
        <v>187.96</v>
      </c>
      <c r="D99">
        <v>190.11</v>
      </c>
      <c r="E99">
        <v>185.96</v>
      </c>
      <c r="F99" t="s">
        <v>401</v>
      </c>
      <c r="G99">
        <v>2.8199999999999999E-2</v>
      </c>
    </row>
    <row r="100" spans="1:7" x14ac:dyDescent="0.45">
      <c r="A100" s="4">
        <v>45944</v>
      </c>
      <c r="B100">
        <v>180.03</v>
      </c>
      <c r="C100">
        <v>184.77</v>
      </c>
      <c r="D100">
        <v>184.8</v>
      </c>
      <c r="E100">
        <v>179.7</v>
      </c>
      <c r="F100" t="s">
        <v>400</v>
      </c>
      <c r="G100">
        <v>-4.3999999999999997E-2</v>
      </c>
    </row>
    <row r="101" spans="1:7" x14ac:dyDescent="0.45">
      <c r="A101" s="4">
        <v>45945</v>
      </c>
      <c r="B101">
        <v>179.83</v>
      </c>
      <c r="C101">
        <v>184.8</v>
      </c>
      <c r="D101">
        <v>184.87</v>
      </c>
      <c r="E101">
        <v>177.29</v>
      </c>
      <c r="F101" t="s">
        <v>399</v>
      </c>
      <c r="G101">
        <v>-1.1000000000000001E-3</v>
      </c>
    </row>
    <row r="102" spans="1:7" x14ac:dyDescent="0.45">
      <c r="A102" s="4">
        <v>45946</v>
      </c>
      <c r="B102">
        <v>181.81</v>
      </c>
      <c r="C102">
        <v>182.23</v>
      </c>
      <c r="D102">
        <v>183.28</v>
      </c>
      <c r="E102">
        <v>179.77</v>
      </c>
      <c r="F102" t="s">
        <v>398</v>
      </c>
      <c r="G102">
        <v>1.0999999999999999E-2</v>
      </c>
    </row>
    <row r="103" spans="1:7" x14ac:dyDescent="0.45">
      <c r="A103" s="4">
        <v>45947</v>
      </c>
      <c r="B103">
        <v>183.22</v>
      </c>
      <c r="C103">
        <v>180.18</v>
      </c>
      <c r="D103">
        <v>184.1</v>
      </c>
      <c r="E103">
        <v>179.75</v>
      </c>
      <c r="F103" t="s">
        <v>397</v>
      </c>
      <c r="G103">
        <v>7.7999999999999996E-3</v>
      </c>
    </row>
    <row r="104" spans="1:7" x14ac:dyDescent="0.45">
      <c r="A104" s="4">
        <v>45950</v>
      </c>
      <c r="B104">
        <v>182.64</v>
      </c>
      <c r="C104">
        <v>183.13</v>
      </c>
      <c r="D104">
        <v>185.2</v>
      </c>
      <c r="E104">
        <v>181.73</v>
      </c>
      <c r="F104" t="s">
        <v>396</v>
      </c>
      <c r="G104">
        <v>-3.2000000000000002E-3</v>
      </c>
    </row>
    <row r="105" spans="1:7" x14ac:dyDescent="0.45">
      <c r="A105" s="4">
        <v>45951</v>
      </c>
      <c r="B105">
        <v>181.16</v>
      </c>
      <c r="C105">
        <v>182.79</v>
      </c>
      <c r="D105">
        <v>182.79</v>
      </c>
      <c r="E105">
        <v>179.8</v>
      </c>
      <c r="F105" t="s">
        <v>395</v>
      </c>
      <c r="G105">
        <v>-8.0999999999999996E-3</v>
      </c>
    </row>
    <row r="106" spans="1:7" x14ac:dyDescent="0.45">
      <c r="A106" s="4">
        <v>45952</v>
      </c>
      <c r="B106">
        <v>180.28</v>
      </c>
      <c r="C106">
        <v>181.14</v>
      </c>
      <c r="D106">
        <v>183.44</v>
      </c>
      <c r="E106">
        <v>176.76</v>
      </c>
      <c r="F106" t="s">
        <v>394</v>
      </c>
      <c r="G106">
        <v>-4.8999999999999998E-3</v>
      </c>
    </row>
    <row r="107" spans="1:7" x14ac:dyDescent="0.45">
      <c r="A107" s="4">
        <v>45953</v>
      </c>
      <c r="B107">
        <v>182.16</v>
      </c>
      <c r="C107">
        <v>180.42</v>
      </c>
      <c r="D107">
        <v>183.03</v>
      </c>
      <c r="E107">
        <v>179.79</v>
      </c>
      <c r="F107" t="s">
        <v>393</v>
      </c>
      <c r="G107">
        <v>1.04E-2</v>
      </c>
    </row>
    <row r="108" spans="1:7" x14ac:dyDescent="0.45">
      <c r="A108" s="4">
        <v>45954</v>
      </c>
      <c r="B108">
        <v>186.26</v>
      </c>
      <c r="C108">
        <v>183.84</v>
      </c>
      <c r="D108">
        <v>187.47</v>
      </c>
      <c r="E108">
        <v>183.5</v>
      </c>
      <c r="F108" t="s">
        <v>392</v>
      </c>
      <c r="G108">
        <v>2.2499999999999999E-2</v>
      </c>
    </row>
    <row r="109" spans="1:7" x14ac:dyDescent="0.45">
      <c r="A109" s="4">
        <v>45957</v>
      </c>
      <c r="B109">
        <v>191.49</v>
      </c>
      <c r="C109">
        <v>189.99</v>
      </c>
      <c r="D109">
        <v>192</v>
      </c>
      <c r="E109">
        <v>188.43</v>
      </c>
      <c r="F109" t="s">
        <v>391</v>
      </c>
      <c r="G109">
        <v>2.81E-2</v>
      </c>
    </row>
    <row r="110" spans="1:7" x14ac:dyDescent="0.45">
      <c r="A110" s="4">
        <v>45958</v>
      </c>
      <c r="B110">
        <v>201.03</v>
      </c>
      <c r="C110">
        <v>193.05</v>
      </c>
      <c r="D110">
        <v>203.15</v>
      </c>
      <c r="E110">
        <v>191.91</v>
      </c>
      <c r="F110" t="s">
        <v>390</v>
      </c>
      <c r="G110">
        <v>4.9799999999999997E-2</v>
      </c>
    </row>
    <row r="111" spans="1:7" x14ac:dyDescent="0.45">
      <c r="A111" s="4">
        <v>45959</v>
      </c>
      <c r="B111">
        <v>207.04</v>
      </c>
      <c r="C111">
        <v>207.98</v>
      </c>
      <c r="D111">
        <v>212.19</v>
      </c>
      <c r="E111">
        <v>204.77</v>
      </c>
      <c r="F111" t="s">
        <v>389</v>
      </c>
      <c r="G111">
        <v>2.9899999999999999E-2</v>
      </c>
    </row>
    <row r="112" spans="1:7" x14ac:dyDescent="0.45">
      <c r="A112" s="4">
        <v>45960</v>
      </c>
      <c r="B112">
        <v>202.89</v>
      </c>
      <c r="C112">
        <v>205.15</v>
      </c>
      <c r="D112">
        <v>206.16</v>
      </c>
      <c r="E112">
        <v>201.41</v>
      </c>
      <c r="F112" t="s">
        <v>388</v>
      </c>
      <c r="G112">
        <v>-0.02</v>
      </c>
    </row>
    <row r="113" spans="1:7" x14ac:dyDescent="0.45">
      <c r="A113" s="4">
        <v>45961</v>
      </c>
      <c r="B113">
        <v>202.49</v>
      </c>
      <c r="C113">
        <v>206.45</v>
      </c>
      <c r="D113">
        <v>207.97</v>
      </c>
      <c r="E113">
        <v>202.07</v>
      </c>
      <c r="F113" t="s">
        <v>387</v>
      </c>
      <c r="G113">
        <v>-2E-3</v>
      </c>
    </row>
    <row r="114" spans="1:7" x14ac:dyDescent="0.45">
      <c r="A114" s="4">
        <v>45964</v>
      </c>
      <c r="B114">
        <v>206.88</v>
      </c>
      <c r="C114">
        <v>208.08</v>
      </c>
      <c r="D114">
        <v>211.34</v>
      </c>
      <c r="E114">
        <v>205.56</v>
      </c>
      <c r="F114" t="s">
        <v>386</v>
      </c>
      <c r="G114">
        <v>2.1700000000000001E-2</v>
      </c>
    </row>
    <row r="115" spans="1:7" x14ac:dyDescent="0.45">
      <c r="A115" s="4">
        <v>45965</v>
      </c>
      <c r="B115">
        <v>198.69</v>
      </c>
      <c r="C115">
        <v>203</v>
      </c>
      <c r="D115">
        <v>203.97</v>
      </c>
      <c r="E115">
        <v>197.93</v>
      </c>
      <c r="F115" t="s">
        <v>385</v>
      </c>
      <c r="G115">
        <v>-3.9600000000000003E-2</v>
      </c>
    </row>
    <row r="116" spans="1:7" x14ac:dyDescent="0.45">
      <c r="A116" s="4">
        <v>45966</v>
      </c>
      <c r="B116">
        <v>195.21</v>
      </c>
      <c r="C116">
        <v>198.77</v>
      </c>
      <c r="D116">
        <v>202.92</v>
      </c>
      <c r="E116">
        <v>194.65</v>
      </c>
      <c r="F116" t="s">
        <v>384</v>
      </c>
      <c r="G116">
        <v>-1.7500000000000002E-2</v>
      </c>
    </row>
    <row r="117" spans="1:7" x14ac:dyDescent="0.45">
      <c r="A117" s="4">
        <v>45967</v>
      </c>
      <c r="B117">
        <v>188.08</v>
      </c>
      <c r="C117">
        <v>196.42</v>
      </c>
      <c r="D117">
        <v>197.62</v>
      </c>
      <c r="E117">
        <v>186.38</v>
      </c>
      <c r="F117" t="s">
        <v>383</v>
      </c>
      <c r="G117">
        <v>-3.6499999999999998E-2</v>
      </c>
    </row>
    <row r="118" spans="1:7" x14ac:dyDescent="0.45">
      <c r="A118" s="4">
        <v>45968</v>
      </c>
      <c r="B118">
        <v>188.15</v>
      </c>
      <c r="C118">
        <v>184.9</v>
      </c>
      <c r="D118">
        <v>188.32</v>
      </c>
      <c r="E118">
        <v>178.91</v>
      </c>
      <c r="F118" t="s">
        <v>382</v>
      </c>
      <c r="G118">
        <v>4.0000000000000002E-4</v>
      </c>
    </row>
    <row r="119" spans="1:7" x14ac:dyDescent="0.45">
      <c r="A119" s="4">
        <v>45971</v>
      </c>
      <c r="B119">
        <v>199.05</v>
      </c>
      <c r="C119">
        <v>195.11</v>
      </c>
      <c r="D119">
        <v>199.94</v>
      </c>
      <c r="E119">
        <v>193.79</v>
      </c>
      <c r="F119" t="s">
        <v>381</v>
      </c>
      <c r="G119">
        <v>5.79E-2</v>
      </c>
    </row>
    <row r="120" spans="1:7" x14ac:dyDescent="0.45">
      <c r="A120" s="4">
        <v>45972</v>
      </c>
      <c r="B120">
        <v>193.16</v>
      </c>
      <c r="C120">
        <v>195.15</v>
      </c>
      <c r="D120">
        <v>195.42</v>
      </c>
      <c r="E120">
        <v>191.3</v>
      </c>
      <c r="F120" t="s">
        <v>380</v>
      </c>
      <c r="G120">
        <v>-2.9600000000000001E-2</v>
      </c>
    </row>
    <row r="121" spans="1:7" x14ac:dyDescent="0.45">
      <c r="A121" s="4">
        <v>45973</v>
      </c>
      <c r="B121">
        <v>193.8</v>
      </c>
      <c r="C121">
        <v>195.72</v>
      </c>
      <c r="D121">
        <v>195.89</v>
      </c>
      <c r="E121">
        <v>191.13</v>
      </c>
      <c r="F121" t="s">
        <v>379</v>
      </c>
      <c r="G121">
        <v>3.3E-3</v>
      </c>
    </row>
    <row r="122" spans="1:7" x14ac:dyDescent="0.45">
      <c r="A122" s="4">
        <v>45974</v>
      </c>
      <c r="B122">
        <v>186.86</v>
      </c>
      <c r="C122">
        <v>191.05</v>
      </c>
      <c r="D122">
        <v>191.44</v>
      </c>
      <c r="E122">
        <v>183.85</v>
      </c>
      <c r="F122" t="s">
        <v>378</v>
      </c>
      <c r="G122">
        <v>-3.5799999999999998E-2</v>
      </c>
    </row>
    <row r="123" spans="1:7" x14ac:dyDescent="0.45">
      <c r="A123" s="4">
        <v>45975</v>
      </c>
      <c r="B123">
        <v>190.17</v>
      </c>
      <c r="C123">
        <v>182.86</v>
      </c>
      <c r="D123">
        <v>191.01</v>
      </c>
      <c r="E123">
        <v>180.58</v>
      </c>
      <c r="F123" t="s">
        <v>377</v>
      </c>
      <c r="G123">
        <v>1.77E-2</v>
      </c>
    </row>
    <row r="124" spans="1:7" x14ac:dyDescent="0.45">
      <c r="A124" s="4">
        <v>45978</v>
      </c>
      <c r="B124">
        <v>186.6</v>
      </c>
      <c r="C124">
        <v>185.96</v>
      </c>
      <c r="D124">
        <v>189</v>
      </c>
      <c r="E124">
        <v>184.32</v>
      </c>
      <c r="F124" t="s">
        <v>376</v>
      </c>
      <c r="G124">
        <v>-1.8800000000000001E-2</v>
      </c>
    </row>
    <row r="125" spans="1:7" x14ac:dyDescent="0.45">
      <c r="A125" s="4">
        <v>45979</v>
      </c>
      <c r="B125">
        <v>181.36</v>
      </c>
      <c r="C125">
        <v>183.38</v>
      </c>
      <c r="D125">
        <v>184.8</v>
      </c>
      <c r="E125">
        <v>179.65</v>
      </c>
      <c r="F125" t="s">
        <v>375</v>
      </c>
      <c r="G125">
        <v>-2.81E-2</v>
      </c>
    </row>
    <row r="126" spans="1:7" x14ac:dyDescent="0.45">
      <c r="A126" s="4">
        <v>45980</v>
      </c>
      <c r="B126">
        <v>186.52</v>
      </c>
      <c r="C126">
        <v>184.79</v>
      </c>
      <c r="D126">
        <v>187.85</v>
      </c>
      <c r="E126">
        <v>182.83</v>
      </c>
      <c r="F126" t="s">
        <v>374</v>
      </c>
      <c r="G126">
        <v>2.8500000000000001E-2</v>
      </c>
    </row>
    <row r="127" spans="1:7" x14ac:dyDescent="0.45">
      <c r="A127" s="4">
        <v>45981</v>
      </c>
      <c r="B127">
        <v>180.64</v>
      </c>
      <c r="C127">
        <v>195.95</v>
      </c>
      <c r="D127">
        <v>196</v>
      </c>
      <c r="E127">
        <v>179.85</v>
      </c>
      <c r="F127" t="s">
        <v>373</v>
      </c>
      <c r="G127">
        <v>-3.15E-2</v>
      </c>
    </row>
    <row r="128" spans="1:7" x14ac:dyDescent="0.45">
      <c r="A128" s="4">
        <v>45982</v>
      </c>
      <c r="B128">
        <v>178.88</v>
      </c>
      <c r="C128">
        <v>181.24</v>
      </c>
      <c r="D128">
        <v>184.56</v>
      </c>
      <c r="E128">
        <v>172.93</v>
      </c>
      <c r="F128" t="s">
        <v>372</v>
      </c>
      <c r="G128">
        <v>-9.7000000000000003E-3</v>
      </c>
    </row>
    <row r="129" spans="1:7" x14ac:dyDescent="0.45">
      <c r="A129" s="4">
        <v>45985</v>
      </c>
      <c r="B129">
        <v>182.55</v>
      </c>
      <c r="C129">
        <v>179.49</v>
      </c>
      <c r="D129">
        <v>183.5</v>
      </c>
      <c r="E129">
        <v>176.48</v>
      </c>
      <c r="F129" t="s">
        <v>371</v>
      </c>
      <c r="G129">
        <v>2.0500000000000001E-2</v>
      </c>
    </row>
    <row r="130" spans="1:7" x14ac:dyDescent="0.45">
      <c r="A130" s="4">
        <v>45986</v>
      </c>
      <c r="B130">
        <v>177.82</v>
      </c>
      <c r="C130">
        <v>174.91</v>
      </c>
      <c r="D130">
        <v>178.16</v>
      </c>
      <c r="E130">
        <v>169.55</v>
      </c>
      <c r="F130" t="s">
        <v>370</v>
      </c>
      <c r="G130">
        <v>-2.5899999999999999E-2</v>
      </c>
    </row>
    <row r="131" spans="1:7" x14ac:dyDescent="0.45">
      <c r="A131" s="4">
        <v>45987</v>
      </c>
      <c r="B131">
        <v>180.26</v>
      </c>
      <c r="C131">
        <v>181.63</v>
      </c>
      <c r="D131">
        <v>182.91</v>
      </c>
      <c r="E131">
        <v>178.24</v>
      </c>
      <c r="F131" t="s">
        <v>369</v>
      </c>
      <c r="G131">
        <v>1.37E-2</v>
      </c>
    </row>
    <row r="132" spans="1:7" x14ac:dyDescent="0.45">
      <c r="A132" s="4">
        <v>45989</v>
      </c>
      <c r="B132">
        <v>177</v>
      </c>
      <c r="C132">
        <v>179.01</v>
      </c>
      <c r="D132">
        <v>179.29</v>
      </c>
      <c r="E132">
        <v>176.5</v>
      </c>
      <c r="F132" t="s">
        <v>368</v>
      </c>
      <c r="G132">
        <v>-1.8100000000000002E-2</v>
      </c>
    </row>
    <row r="133" spans="1:7" x14ac:dyDescent="0.45">
      <c r="A133" s="4">
        <v>45992</v>
      </c>
      <c r="B133">
        <v>179.92</v>
      </c>
      <c r="C133">
        <v>174.76</v>
      </c>
      <c r="D133">
        <v>180.3</v>
      </c>
      <c r="E133">
        <v>173.68</v>
      </c>
      <c r="F133" t="s">
        <v>367</v>
      </c>
      <c r="G133">
        <v>1.6500000000000001E-2</v>
      </c>
    </row>
    <row r="134" spans="1:7" x14ac:dyDescent="0.45">
      <c r="A134" s="4">
        <v>45993</v>
      </c>
      <c r="B134">
        <v>181.46</v>
      </c>
      <c r="C134">
        <v>181.76</v>
      </c>
      <c r="D134">
        <v>185.66</v>
      </c>
      <c r="E134">
        <v>180</v>
      </c>
      <c r="F134" t="s">
        <v>366</v>
      </c>
      <c r="G134">
        <v>8.6E-3</v>
      </c>
    </row>
    <row r="135" spans="1:7" x14ac:dyDescent="0.45">
      <c r="A135" s="4">
        <v>45994</v>
      </c>
      <c r="B135">
        <v>179.59</v>
      </c>
      <c r="C135">
        <v>181.08</v>
      </c>
      <c r="D135">
        <v>182.45</v>
      </c>
      <c r="E135">
        <v>179.11</v>
      </c>
      <c r="F135" t="s">
        <v>365</v>
      </c>
      <c r="G135">
        <v>-1.03E-2</v>
      </c>
    </row>
    <row r="136" spans="1:7" x14ac:dyDescent="0.45">
      <c r="A136" s="4">
        <v>45995</v>
      </c>
      <c r="B136">
        <v>183.38</v>
      </c>
      <c r="C136">
        <v>181.62</v>
      </c>
      <c r="D136">
        <v>184.51</v>
      </c>
      <c r="E136">
        <v>179.96</v>
      </c>
      <c r="F136" t="s">
        <v>364</v>
      </c>
      <c r="G136">
        <v>2.1100000000000001E-2</v>
      </c>
    </row>
    <row r="137" spans="1:7" x14ac:dyDescent="0.45">
      <c r="A137" s="4">
        <v>45996</v>
      </c>
      <c r="B137">
        <v>182.41</v>
      </c>
      <c r="C137">
        <v>183.89</v>
      </c>
      <c r="D137">
        <v>184.66</v>
      </c>
      <c r="E137">
        <v>180.91</v>
      </c>
      <c r="F137" t="s">
        <v>363</v>
      </c>
      <c r="G137">
        <v>-5.3E-3</v>
      </c>
    </row>
    <row r="138" spans="1:7" x14ac:dyDescent="0.45">
      <c r="A138" s="4">
        <v>45999</v>
      </c>
      <c r="B138">
        <v>185.55</v>
      </c>
      <c r="C138">
        <v>182.64</v>
      </c>
      <c r="D138">
        <v>188</v>
      </c>
      <c r="E138">
        <v>182.4</v>
      </c>
      <c r="F138" t="s">
        <v>362</v>
      </c>
      <c r="G138">
        <v>1.72E-2</v>
      </c>
    </row>
    <row r="139" spans="1:7" x14ac:dyDescent="0.45">
      <c r="A139" s="4">
        <v>46000</v>
      </c>
      <c r="B139">
        <v>184.97</v>
      </c>
      <c r="C139">
        <v>185.56</v>
      </c>
      <c r="D139">
        <v>185.72</v>
      </c>
      <c r="E139">
        <v>183.32</v>
      </c>
      <c r="F139" t="s">
        <v>361</v>
      </c>
      <c r="G139">
        <v>-3.0999999999999999E-3</v>
      </c>
    </row>
    <row r="140" spans="1:7" x14ac:dyDescent="0.45">
      <c r="A140" s="4">
        <v>46001</v>
      </c>
      <c r="B140">
        <v>183.78</v>
      </c>
      <c r="C140">
        <v>184.96</v>
      </c>
      <c r="D140">
        <v>185.48</v>
      </c>
      <c r="E140">
        <v>182.04</v>
      </c>
      <c r="F140" t="s">
        <v>360</v>
      </c>
      <c r="G140">
        <v>-6.4000000000000003E-3</v>
      </c>
    </row>
    <row r="141" spans="1:7" x14ac:dyDescent="0.45">
      <c r="A141" s="4">
        <v>46002</v>
      </c>
      <c r="B141">
        <v>180.93</v>
      </c>
      <c r="C141">
        <v>180.27</v>
      </c>
      <c r="D141">
        <v>181.32</v>
      </c>
      <c r="E141">
        <v>176.62</v>
      </c>
      <c r="F141" t="s">
        <v>359</v>
      </c>
      <c r="G141">
        <v>-1.55E-2</v>
      </c>
    </row>
    <row r="142" spans="1:7" x14ac:dyDescent="0.45">
      <c r="A142" s="4">
        <v>46003</v>
      </c>
      <c r="B142">
        <v>175.02</v>
      </c>
      <c r="C142">
        <v>181.11</v>
      </c>
      <c r="D142">
        <v>182.82</v>
      </c>
      <c r="E142">
        <v>174.62</v>
      </c>
      <c r="F142" t="s">
        <v>358</v>
      </c>
      <c r="G142">
        <v>-3.27E-2</v>
      </c>
    </row>
    <row r="143" spans="1:7" x14ac:dyDescent="0.45">
      <c r="A143" s="4">
        <v>46006</v>
      </c>
      <c r="B143">
        <v>176.29</v>
      </c>
      <c r="C143">
        <v>177.94</v>
      </c>
      <c r="D143">
        <v>178.41</v>
      </c>
      <c r="E143">
        <v>175.03</v>
      </c>
      <c r="F143" t="s">
        <v>357</v>
      </c>
      <c r="G143">
        <v>7.3000000000000001E-3</v>
      </c>
    </row>
    <row r="144" spans="1:7" x14ac:dyDescent="0.45">
      <c r="A144" s="4">
        <v>46007</v>
      </c>
      <c r="B144">
        <v>177.72</v>
      </c>
      <c r="C144">
        <v>176.26</v>
      </c>
      <c r="D144">
        <v>178.49</v>
      </c>
      <c r="E144">
        <v>174.9</v>
      </c>
      <c r="F144" t="s">
        <v>356</v>
      </c>
      <c r="G144">
        <v>8.0999999999999996E-3</v>
      </c>
    </row>
    <row r="145" spans="1:7" x14ac:dyDescent="0.45">
      <c r="A145" s="4">
        <v>46008</v>
      </c>
      <c r="B145">
        <v>170.94</v>
      </c>
      <c r="C145">
        <v>176.1</v>
      </c>
      <c r="D145">
        <v>176.13</v>
      </c>
      <c r="E145">
        <v>170.31</v>
      </c>
      <c r="F145" t="s">
        <v>355</v>
      </c>
      <c r="G145">
        <v>-3.8100000000000002E-2</v>
      </c>
    </row>
    <row r="146" spans="1:7" x14ac:dyDescent="0.45">
      <c r="A146" s="4">
        <v>46009</v>
      </c>
      <c r="B146">
        <v>174.14</v>
      </c>
      <c r="C146">
        <v>174.53</v>
      </c>
      <c r="D146">
        <v>176.15</v>
      </c>
      <c r="E146">
        <v>171.82</v>
      </c>
      <c r="F146" t="s">
        <v>354</v>
      </c>
      <c r="G146">
        <v>1.8700000000000001E-2</v>
      </c>
    </row>
    <row r="147" spans="1:7" x14ac:dyDescent="0.45">
      <c r="A147" s="4">
        <v>46010</v>
      </c>
      <c r="B147">
        <v>180.99</v>
      </c>
      <c r="C147">
        <v>176.66</v>
      </c>
      <c r="D147">
        <v>181.45</v>
      </c>
      <c r="E147">
        <v>176.34</v>
      </c>
      <c r="F147" t="s">
        <v>353</v>
      </c>
      <c r="G147">
        <v>3.9300000000000002E-2</v>
      </c>
    </row>
    <row r="148" spans="1:7" x14ac:dyDescent="0.45">
      <c r="A148" s="4">
        <v>46013</v>
      </c>
      <c r="B148">
        <v>183.69</v>
      </c>
      <c r="C148">
        <v>183.92</v>
      </c>
      <c r="D148">
        <v>184.16</v>
      </c>
      <c r="E148">
        <v>182.35</v>
      </c>
      <c r="F148" t="s">
        <v>352</v>
      </c>
      <c r="G148">
        <v>1.49E-2</v>
      </c>
    </row>
    <row r="149" spans="1:7" x14ac:dyDescent="0.45">
      <c r="A149" s="4">
        <v>46014</v>
      </c>
      <c r="B149">
        <v>189.21</v>
      </c>
      <c r="C149">
        <v>182.97</v>
      </c>
      <c r="D149">
        <v>189.33</v>
      </c>
      <c r="E149">
        <v>182.9</v>
      </c>
      <c r="F149" t="s">
        <v>351</v>
      </c>
      <c r="G149">
        <v>3.0099999999999998E-2</v>
      </c>
    </row>
    <row r="150" spans="1:7" x14ac:dyDescent="0.45">
      <c r="A150" s="4">
        <v>46015</v>
      </c>
      <c r="B150">
        <v>188.61</v>
      </c>
      <c r="C150">
        <v>187.94</v>
      </c>
      <c r="D150">
        <v>188.91</v>
      </c>
      <c r="E150">
        <v>186.59</v>
      </c>
      <c r="F150" t="s">
        <v>350</v>
      </c>
      <c r="G150">
        <v>-3.2000000000000002E-3</v>
      </c>
    </row>
    <row r="151" spans="1:7" x14ac:dyDescent="0.45">
      <c r="A151" s="4">
        <v>46017</v>
      </c>
      <c r="B151">
        <v>190.53</v>
      </c>
      <c r="C151">
        <v>189.92</v>
      </c>
      <c r="D151">
        <v>192.69</v>
      </c>
      <c r="E151">
        <v>188</v>
      </c>
      <c r="F151" t="s">
        <v>349</v>
      </c>
      <c r="G151">
        <v>1.0200000000000001E-2</v>
      </c>
    </row>
    <row r="152" spans="1:7" x14ac:dyDescent="0.45">
      <c r="A152" s="4">
        <v>46020</v>
      </c>
      <c r="B152">
        <v>188.22</v>
      </c>
      <c r="C152">
        <v>187.71</v>
      </c>
      <c r="D152">
        <v>188.76</v>
      </c>
      <c r="E152">
        <v>185.91</v>
      </c>
      <c r="F152" t="s">
        <v>348</v>
      </c>
      <c r="G152">
        <v>-1.21E-2</v>
      </c>
    </row>
    <row r="153" spans="1:7" x14ac:dyDescent="0.45">
      <c r="A153" s="4">
        <v>46021</v>
      </c>
      <c r="B153">
        <v>187.54</v>
      </c>
      <c r="C153">
        <v>188.24</v>
      </c>
      <c r="D153">
        <v>188.99</v>
      </c>
      <c r="E153">
        <v>186.93</v>
      </c>
      <c r="F153" t="s">
        <v>347</v>
      </c>
      <c r="G153">
        <v>-3.5999999999999999E-3</v>
      </c>
    </row>
    <row r="154" spans="1:7" x14ac:dyDescent="0.45">
      <c r="A154" s="4">
        <v>46022</v>
      </c>
      <c r="B154">
        <v>186.5</v>
      </c>
      <c r="C154">
        <v>189.57</v>
      </c>
      <c r="D154">
        <v>190.56</v>
      </c>
      <c r="E154">
        <v>186.49</v>
      </c>
      <c r="F154" t="s">
        <v>346</v>
      </c>
      <c r="G154">
        <v>-5.4999999999999997E-3</v>
      </c>
    </row>
    <row r="155" spans="1:7" x14ac:dyDescent="0.45">
      <c r="A155" s="4">
        <v>46024</v>
      </c>
      <c r="B155">
        <v>188.85</v>
      </c>
      <c r="C155">
        <v>189.84</v>
      </c>
      <c r="D155">
        <v>192.93</v>
      </c>
      <c r="E155">
        <v>188.26</v>
      </c>
      <c r="F155" t="s">
        <v>345</v>
      </c>
      <c r="G155">
        <v>1.26E-2</v>
      </c>
    </row>
    <row r="156" spans="1:7" x14ac:dyDescent="0.45">
      <c r="A156" s="4">
        <v>46027</v>
      </c>
      <c r="B156">
        <v>188.12</v>
      </c>
      <c r="C156">
        <v>191.76</v>
      </c>
      <c r="D156">
        <v>193.63</v>
      </c>
      <c r="E156">
        <v>186.15</v>
      </c>
      <c r="F156" t="s">
        <v>344</v>
      </c>
      <c r="G156">
        <v>-3.8999999999999998E-3</v>
      </c>
    </row>
    <row r="157" spans="1:7" x14ac:dyDescent="0.45">
      <c r="A157" s="4">
        <v>46028</v>
      </c>
      <c r="B157">
        <v>187.24</v>
      </c>
      <c r="C157">
        <v>190.52</v>
      </c>
      <c r="D157">
        <v>192.17</v>
      </c>
      <c r="E157">
        <v>186.82</v>
      </c>
      <c r="F157" t="s">
        <v>343</v>
      </c>
      <c r="G157">
        <v>-4.7000000000000002E-3</v>
      </c>
    </row>
    <row r="158" spans="1:7" x14ac:dyDescent="0.45">
      <c r="A158" s="4">
        <v>46029</v>
      </c>
      <c r="B158">
        <v>189.11</v>
      </c>
      <c r="C158">
        <v>188.57</v>
      </c>
      <c r="D158">
        <v>191.37</v>
      </c>
      <c r="E158">
        <v>186.56</v>
      </c>
      <c r="F158" t="s">
        <v>342</v>
      </c>
      <c r="G158">
        <v>0.01</v>
      </c>
    </row>
    <row r="159" spans="1:7" x14ac:dyDescent="0.45">
      <c r="A159" s="4">
        <v>46030</v>
      </c>
      <c r="B159">
        <v>185.04</v>
      </c>
      <c r="C159">
        <v>189.11</v>
      </c>
      <c r="D159">
        <v>189.55</v>
      </c>
      <c r="E159">
        <v>183.71</v>
      </c>
      <c r="F159" t="s">
        <v>341</v>
      </c>
      <c r="G159">
        <v>-2.1499999999999998E-2</v>
      </c>
    </row>
    <row r="160" spans="1:7" x14ac:dyDescent="0.45">
      <c r="A160" s="4">
        <v>46031</v>
      </c>
      <c r="B160">
        <v>184.86</v>
      </c>
      <c r="C160">
        <v>185.08</v>
      </c>
      <c r="D160">
        <v>186.34</v>
      </c>
      <c r="E160">
        <v>183.67</v>
      </c>
      <c r="F160" t="s">
        <v>340</v>
      </c>
      <c r="G160">
        <v>-1E-3</v>
      </c>
    </row>
    <row r="161" spans="1:7" x14ac:dyDescent="0.45">
      <c r="A161" s="4">
        <v>46034</v>
      </c>
      <c r="B161">
        <v>184.94</v>
      </c>
      <c r="C161">
        <v>183.22</v>
      </c>
      <c r="D161">
        <v>187.12</v>
      </c>
      <c r="E161">
        <v>183.02</v>
      </c>
      <c r="F161" t="s">
        <v>339</v>
      </c>
      <c r="G161">
        <v>4.0000000000000002E-4</v>
      </c>
    </row>
    <row r="162" spans="1:7" x14ac:dyDescent="0.45">
      <c r="A162" s="4">
        <v>46035</v>
      </c>
      <c r="B162">
        <v>185.81</v>
      </c>
      <c r="C162">
        <v>184.99</v>
      </c>
      <c r="D162">
        <v>188.11</v>
      </c>
      <c r="E162">
        <v>183.4</v>
      </c>
      <c r="F162" t="s">
        <v>338</v>
      </c>
      <c r="G162">
        <v>4.7000000000000002E-3</v>
      </c>
    </row>
    <row r="163" spans="1:7" x14ac:dyDescent="0.45">
      <c r="A163" s="4">
        <v>46036</v>
      </c>
      <c r="B163">
        <v>183.14</v>
      </c>
      <c r="C163">
        <v>184.32</v>
      </c>
      <c r="D163">
        <v>184.46</v>
      </c>
      <c r="E163">
        <v>180.8</v>
      </c>
      <c r="F163" t="s">
        <v>337</v>
      </c>
      <c r="G163">
        <v>-1.44E-2</v>
      </c>
    </row>
    <row r="164" spans="1:7" x14ac:dyDescent="0.45">
      <c r="A164" s="4">
        <v>46037</v>
      </c>
      <c r="B164">
        <v>187.05</v>
      </c>
      <c r="C164">
        <v>186.5</v>
      </c>
      <c r="D164">
        <v>189.7</v>
      </c>
      <c r="E164">
        <v>186.33</v>
      </c>
      <c r="F164" t="s">
        <v>336</v>
      </c>
      <c r="G164">
        <v>2.1299999999999999E-2</v>
      </c>
    </row>
    <row r="165" spans="1:7" x14ac:dyDescent="0.45">
      <c r="A165" s="4">
        <v>46038</v>
      </c>
      <c r="B165">
        <v>186.23</v>
      </c>
      <c r="C165">
        <v>189.07</v>
      </c>
      <c r="D165">
        <v>190.44</v>
      </c>
      <c r="E165">
        <v>186.08</v>
      </c>
      <c r="F165" t="s">
        <v>335</v>
      </c>
      <c r="G165">
        <v>-4.4000000000000003E-3</v>
      </c>
    </row>
    <row r="166" spans="1:7" x14ac:dyDescent="0.45">
      <c r="A166" s="4">
        <v>46042</v>
      </c>
      <c r="B166">
        <v>178.07</v>
      </c>
      <c r="C166">
        <v>181.9</v>
      </c>
      <c r="D166">
        <v>182.38</v>
      </c>
      <c r="E166">
        <v>177.61</v>
      </c>
      <c r="F166" t="s">
        <v>334</v>
      </c>
      <c r="G166">
        <v>-4.3799999999999999E-2</v>
      </c>
    </row>
    <row r="167" spans="1:7" x14ac:dyDescent="0.45">
      <c r="A167" s="4">
        <v>46043</v>
      </c>
      <c r="B167">
        <v>183.32</v>
      </c>
      <c r="C167">
        <v>179.05</v>
      </c>
      <c r="D167">
        <v>185.38</v>
      </c>
      <c r="E167">
        <v>178.4</v>
      </c>
      <c r="F167" t="s">
        <v>333</v>
      </c>
      <c r="G167">
        <v>2.9499999999999998E-2</v>
      </c>
    </row>
    <row r="168" spans="1:7" x14ac:dyDescent="0.45">
      <c r="A168" s="4">
        <v>46044</v>
      </c>
      <c r="B168">
        <v>184.84</v>
      </c>
      <c r="C168">
        <v>184.75</v>
      </c>
      <c r="D168">
        <v>186.17</v>
      </c>
      <c r="E168">
        <v>183.93</v>
      </c>
      <c r="F168" t="s">
        <v>332</v>
      </c>
      <c r="G168">
        <v>8.3000000000000001E-3</v>
      </c>
    </row>
    <row r="169" spans="1:7" x14ac:dyDescent="0.45">
      <c r="A169" s="4">
        <v>46045</v>
      </c>
      <c r="B169">
        <v>187.67</v>
      </c>
      <c r="C169">
        <v>187.5</v>
      </c>
      <c r="D169">
        <v>189.6</v>
      </c>
      <c r="E169">
        <v>186.82</v>
      </c>
      <c r="F169" t="s">
        <v>331</v>
      </c>
      <c r="G169">
        <v>1.5299999999999999E-2</v>
      </c>
    </row>
    <row r="170" spans="1:7" x14ac:dyDescent="0.45">
      <c r="A170" s="4">
        <v>46048</v>
      </c>
      <c r="B170">
        <v>186.47</v>
      </c>
      <c r="C170">
        <v>187.16</v>
      </c>
      <c r="D170">
        <v>189.12</v>
      </c>
      <c r="E170">
        <v>185.99</v>
      </c>
      <c r="F170" t="s">
        <v>330</v>
      </c>
      <c r="G170">
        <v>-6.4000000000000003E-3</v>
      </c>
    </row>
    <row r="171" spans="1:7" x14ac:dyDescent="0.45">
      <c r="A171" s="4">
        <v>46049</v>
      </c>
      <c r="B171">
        <v>188.52</v>
      </c>
      <c r="C171">
        <v>187.24</v>
      </c>
      <c r="D171">
        <v>190</v>
      </c>
      <c r="E171">
        <v>185.7</v>
      </c>
      <c r="F171" t="s">
        <v>329</v>
      </c>
      <c r="G171">
        <v>1.0999999999999999E-2</v>
      </c>
    </row>
    <row r="172" spans="1:7" x14ac:dyDescent="0.45">
      <c r="A172" s="4">
        <v>46050</v>
      </c>
      <c r="B172">
        <v>191.52</v>
      </c>
      <c r="C172">
        <v>191.27</v>
      </c>
      <c r="D172">
        <v>192.35</v>
      </c>
      <c r="E172">
        <v>189.84</v>
      </c>
      <c r="F172" t="s">
        <v>328</v>
      </c>
      <c r="G172">
        <v>1.5900000000000001E-2</v>
      </c>
    </row>
    <row r="173" spans="1:7" x14ac:dyDescent="0.45">
      <c r="A173" s="4">
        <v>46051</v>
      </c>
      <c r="B173">
        <v>192.51</v>
      </c>
      <c r="C173">
        <v>191.34</v>
      </c>
      <c r="D173">
        <v>193.48</v>
      </c>
      <c r="E173">
        <v>186.06</v>
      </c>
      <c r="F173" t="s">
        <v>327</v>
      </c>
      <c r="G173">
        <v>5.1999999999999998E-3</v>
      </c>
    </row>
    <row r="174" spans="1:7" x14ac:dyDescent="0.45">
      <c r="A174" s="4">
        <v>46052</v>
      </c>
      <c r="B174">
        <v>191.13</v>
      </c>
      <c r="C174">
        <v>191.21</v>
      </c>
      <c r="D174">
        <v>194.49</v>
      </c>
      <c r="E174">
        <v>189.47</v>
      </c>
      <c r="F174" t="s">
        <v>326</v>
      </c>
      <c r="G174">
        <v>-7.1999999999999998E-3</v>
      </c>
    </row>
    <row r="175" spans="1:7" x14ac:dyDescent="0.45">
      <c r="A175" s="4">
        <v>46055</v>
      </c>
      <c r="B175">
        <v>185.61</v>
      </c>
      <c r="C175">
        <v>187.2</v>
      </c>
      <c r="D175">
        <v>190.3</v>
      </c>
      <c r="E175">
        <v>184.88</v>
      </c>
      <c r="F175" t="s">
        <v>325</v>
      </c>
      <c r="G175">
        <v>-2.8899999999999999E-2</v>
      </c>
    </row>
    <row r="176" spans="1:7" x14ac:dyDescent="0.45">
      <c r="A176" s="4">
        <v>46056</v>
      </c>
      <c r="B176">
        <v>180.34</v>
      </c>
      <c r="C176">
        <v>186.24</v>
      </c>
      <c r="D176">
        <v>186.27</v>
      </c>
      <c r="E176">
        <v>176.23</v>
      </c>
      <c r="F176" t="s">
        <v>324</v>
      </c>
      <c r="G176">
        <v>-2.8400000000000002E-2</v>
      </c>
    </row>
    <row r="177" spans="1:7" x14ac:dyDescent="0.45">
      <c r="A177" s="4">
        <v>46057</v>
      </c>
      <c r="B177">
        <v>174.19</v>
      </c>
      <c r="C177">
        <v>179.46</v>
      </c>
      <c r="D177">
        <v>179.58</v>
      </c>
      <c r="E177">
        <v>171.91</v>
      </c>
      <c r="F177" t="s">
        <v>323</v>
      </c>
      <c r="G177">
        <v>-3.4099999999999998E-2</v>
      </c>
    </row>
    <row r="178" spans="1:7" x14ac:dyDescent="0.45">
      <c r="A178" s="4">
        <v>46058</v>
      </c>
      <c r="B178">
        <v>171.88</v>
      </c>
      <c r="C178">
        <v>174.93</v>
      </c>
      <c r="D178">
        <v>176.82</v>
      </c>
      <c r="E178">
        <v>171.03</v>
      </c>
      <c r="F178" t="s">
        <v>322</v>
      </c>
      <c r="G178">
        <v>-1.3299999999999999E-2</v>
      </c>
    </row>
    <row r="179" spans="1:7" x14ac:dyDescent="0.45">
      <c r="A179" s="4">
        <v>46059</v>
      </c>
      <c r="B179">
        <v>185.41</v>
      </c>
      <c r="C179">
        <v>176.69</v>
      </c>
      <c r="D179">
        <v>187</v>
      </c>
      <c r="E179">
        <v>174.6</v>
      </c>
      <c r="F179" t="s">
        <v>321</v>
      </c>
      <c r="G179">
        <v>7.8700000000000006E-2</v>
      </c>
    </row>
    <row r="180" spans="1:7" x14ac:dyDescent="0.45">
      <c r="A180" s="4">
        <v>46062</v>
      </c>
      <c r="B180">
        <v>190.04</v>
      </c>
      <c r="C180">
        <v>184.26</v>
      </c>
      <c r="D180">
        <v>193.66</v>
      </c>
      <c r="E180">
        <v>183.95</v>
      </c>
      <c r="F180" t="s">
        <v>320</v>
      </c>
      <c r="G180">
        <v>2.5000000000000001E-2</v>
      </c>
    </row>
    <row r="181" spans="1:7" x14ac:dyDescent="0.45">
      <c r="A181" s="4">
        <v>46063</v>
      </c>
      <c r="B181">
        <v>188.54</v>
      </c>
      <c r="C181">
        <v>191.38</v>
      </c>
      <c r="D181">
        <v>192.48</v>
      </c>
      <c r="E181">
        <v>188.12</v>
      </c>
      <c r="F181" t="s">
        <v>319</v>
      </c>
      <c r="G181">
        <v>-7.9000000000000008E-3</v>
      </c>
    </row>
    <row r="182" spans="1:7" x14ac:dyDescent="0.45">
      <c r="A182" s="4">
        <v>46064</v>
      </c>
      <c r="B182">
        <v>190.05</v>
      </c>
      <c r="C182">
        <v>192.45</v>
      </c>
      <c r="D182">
        <v>193.26</v>
      </c>
      <c r="E182">
        <v>188.77</v>
      </c>
      <c r="F182" t="s">
        <v>318</v>
      </c>
      <c r="G182">
        <v>8.0000000000000002E-3</v>
      </c>
    </row>
    <row r="183" spans="1:7" x14ac:dyDescent="0.45">
      <c r="A183" s="4">
        <v>46065</v>
      </c>
      <c r="B183">
        <v>186.94</v>
      </c>
      <c r="C183">
        <v>193.03</v>
      </c>
      <c r="D183">
        <v>193.61</v>
      </c>
      <c r="E183">
        <v>186.51</v>
      </c>
      <c r="F183" t="s">
        <v>317</v>
      </c>
      <c r="G183">
        <v>-1.6400000000000001E-2</v>
      </c>
    </row>
    <row r="184" spans="1:7" x14ac:dyDescent="0.45">
      <c r="A184" s="4">
        <v>46066</v>
      </c>
      <c r="B184">
        <v>182.81</v>
      </c>
      <c r="C184">
        <v>187.48</v>
      </c>
      <c r="D184">
        <v>187.5</v>
      </c>
      <c r="E184">
        <v>181.59</v>
      </c>
      <c r="F184" t="s">
        <v>316</v>
      </c>
      <c r="G184">
        <v>-2.2100000000000002E-2</v>
      </c>
    </row>
    <row r="185" spans="1:7" x14ac:dyDescent="0.45">
      <c r="A185" s="4">
        <v>46070</v>
      </c>
      <c r="B185">
        <v>184.97</v>
      </c>
      <c r="C185">
        <v>181.75</v>
      </c>
      <c r="D185">
        <v>187.15</v>
      </c>
      <c r="E185">
        <v>179.18</v>
      </c>
      <c r="F185" t="s">
        <v>315</v>
      </c>
      <c r="G185">
        <v>1.18E-2</v>
      </c>
    </row>
    <row r="186" spans="1:7" x14ac:dyDescent="0.45">
      <c r="A186" s="4">
        <v>46071</v>
      </c>
      <c r="B186">
        <v>187.98</v>
      </c>
      <c r="C186">
        <v>188.75</v>
      </c>
      <c r="D186">
        <v>190.37</v>
      </c>
      <c r="E186">
        <v>186.76</v>
      </c>
      <c r="F186" t="s">
        <v>314</v>
      </c>
      <c r="G186">
        <v>1.6299999999999999E-2</v>
      </c>
    </row>
    <row r="187" spans="1:7" x14ac:dyDescent="0.45">
      <c r="A187" s="4">
        <v>46072</v>
      </c>
      <c r="B187">
        <v>187.9</v>
      </c>
      <c r="C187">
        <v>187.05</v>
      </c>
      <c r="D187">
        <v>188.43</v>
      </c>
      <c r="E187">
        <v>185.66</v>
      </c>
      <c r="F187" t="s">
        <v>313</v>
      </c>
      <c r="G187">
        <v>-4.0000000000000002E-4</v>
      </c>
    </row>
    <row r="188" spans="1:7" x14ac:dyDescent="0.45">
      <c r="A188" s="4">
        <v>46073</v>
      </c>
      <c r="B188">
        <v>189.82</v>
      </c>
      <c r="C188">
        <v>186.57</v>
      </c>
      <c r="D188">
        <v>190.33</v>
      </c>
      <c r="E188">
        <v>185.94</v>
      </c>
      <c r="F188" t="s">
        <v>312</v>
      </c>
      <c r="G188">
        <v>1.0200000000000001E-2</v>
      </c>
    </row>
    <row r="189" spans="1:7" x14ac:dyDescent="0.45">
      <c r="A189" s="4">
        <v>46076</v>
      </c>
      <c r="B189">
        <v>191.55</v>
      </c>
      <c r="C189">
        <v>191.4</v>
      </c>
      <c r="D189">
        <v>193.95</v>
      </c>
      <c r="E189">
        <v>189.57</v>
      </c>
      <c r="F189" t="s">
        <v>311</v>
      </c>
      <c r="G189">
        <v>9.1000000000000004E-3</v>
      </c>
    </row>
    <row r="190" spans="1:7" x14ac:dyDescent="0.45">
      <c r="A190" s="4">
        <v>46077</v>
      </c>
      <c r="B190">
        <v>192.85</v>
      </c>
      <c r="C190">
        <v>191.49</v>
      </c>
      <c r="D190">
        <v>193.77</v>
      </c>
      <c r="E190">
        <v>187.4</v>
      </c>
      <c r="F190" t="s">
        <v>310</v>
      </c>
      <c r="G190">
        <v>6.7999999999999996E-3</v>
      </c>
    </row>
    <row r="191" spans="1:7" x14ac:dyDescent="0.45">
      <c r="A191" s="4">
        <v>46078</v>
      </c>
      <c r="B191">
        <v>195.56</v>
      </c>
      <c r="C191">
        <v>194.45</v>
      </c>
      <c r="D191">
        <v>197.63</v>
      </c>
      <c r="E191">
        <v>193.79</v>
      </c>
      <c r="F191" t="s">
        <v>309</v>
      </c>
      <c r="G191">
        <v>1.41E-2</v>
      </c>
    </row>
    <row r="192" spans="1:7" x14ac:dyDescent="0.45">
      <c r="A192" s="4">
        <v>46079</v>
      </c>
      <c r="B192">
        <v>184.89</v>
      </c>
      <c r="C192">
        <v>194.27</v>
      </c>
      <c r="D192">
        <v>194.29</v>
      </c>
      <c r="E192">
        <v>184.32</v>
      </c>
      <c r="F192" t="s">
        <v>308</v>
      </c>
      <c r="G192">
        <v>-5.4600000000000003E-2</v>
      </c>
    </row>
    <row r="193" spans="1:7" x14ac:dyDescent="0.45">
      <c r="A193" s="4">
        <v>46080</v>
      </c>
      <c r="B193">
        <v>177.19</v>
      </c>
      <c r="C193">
        <v>181.25</v>
      </c>
      <c r="D193">
        <v>182.59</v>
      </c>
      <c r="E193">
        <v>176.38</v>
      </c>
      <c r="F193" t="s">
        <v>307</v>
      </c>
      <c r="G193">
        <v>-4.1599999999999998E-2</v>
      </c>
    </row>
    <row r="194" spans="1:7" x14ac:dyDescent="0.45">
      <c r="A194" s="4">
        <v>46083</v>
      </c>
      <c r="B194">
        <v>182.48</v>
      </c>
      <c r="C194">
        <v>175.01</v>
      </c>
      <c r="D194">
        <v>183.46</v>
      </c>
      <c r="E194">
        <v>174.64</v>
      </c>
      <c r="F194" t="s">
        <v>306</v>
      </c>
      <c r="G194">
        <v>2.9899999999999999E-2</v>
      </c>
    </row>
    <row r="195" spans="1:7" x14ac:dyDescent="0.45">
      <c r="A195" s="4">
        <v>46084</v>
      </c>
      <c r="B195">
        <v>180.05</v>
      </c>
      <c r="C195">
        <v>178.49</v>
      </c>
      <c r="D195">
        <v>180.9</v>
      </c>
      <c r="E195">
        <v>176.92</v>
      </c>
      <c r="F195" t="s">
        <v>305</v>
      </c>
      <c r="G195">
        <v>-1.3299999999999999E-2</v>
      </c>
    </row>
    <row r="196" spans="1:7" x14ac:dyDescent="0.45">
      <c r="A196" s="4">
        <v>46085</v>
      </c>
      <c r="B196">
        <v>183.04</v>
      </c>
      <c r="C196">
        <v>180.44</v>
      </c>
      <c r="D196">
        <v>184.7</v>
      </c>
      <c r="E196">
        <v>180.06</v>
      </c>
      <c r="F196" t="s">
        <v>304</v>
      </c>
      <c r="G196">
        <v>1.66E-2</v>
      </c>
    </row>
    <row r="197" spans="1:7" x14ac:dyDescent="0.45">
      <c r="A197" s="4">
        <v>46086</v>
      </c>
      <c r="B197">
        <v>183.34</v>
      </c>
      <c r="C197">
        <v>181.17</v>
      </c>
      <c r="D197">
        <v>184.06</v>
      </c>
      <c r="E197">
        <v>177.88</v>
      </c>
      <c r="F197" t="s">
        <v>303</v>
      </c>
      <c r="G197">
        <v>1.6000000000000001E-3</v>
      </c>
    </row>
    <row r="198" spans="1:7" x14ac:dyDescent="0.45">
      <c r="A198" s="4">
        <v>46087</v>
      </c>
      <c r="B198">
        <v>177.82</v>
      </c>
      <c r="C198">
        <v>179.84</v>
      </c>
      <c r="D198">
        <v>182.76</v>
      </c>
      <c r="E198">
        <v>176.82</v>
      </c>
      <c r="F198" t="s">
        <v>302</v>
      </c>
      <c r="G198">
        <v>-3.0099999999999998E-2</v>
      </c>
    </row>
    <row r="199" spans="1:7" x14ac:dyDescent="0.45">
      <c r="A199" s="4">
        <v>46090</v>
      </c>
      <c r="B199">
        <v>182.65</v>
      </c>
      <c r="C199">
        <v>176.83</v>
      </c>
      <c r="D199">
        <v>182.91</v>
      </c>
      <c r="E199">
        <v>175.56</v>
      </c>
      <c r="F199" t="s">
        <v>301</v>
      </c>
      <c r="G199">
        <v>2.7199999999999998E-2</v>
      </c>
    </row>
    <row r="200" spans="1:7" x14ac:dyDescent="0.45">
      <c r="A200" s="4">
        <v>46091</v>
      </c>
      <c r="B200">
        <v>184.77</v>
      </c>
      <c r="C200">
        <v>182.4</v>
      </c>
      <c r="D200">
        <v>186.44</v>
      </c>
      <c r="E200">
        <v>182.01</v>
      </c>
      <c r="F200" t="s">
        <v>300</v>
      </c>
      <c r="G200">
        <v>1.1599999999999999E-2</v>
      </c>
    </row>
    <row r="201" spans="1:7" x14ac:dyDescent="0.45">
      <c r="A201" s="4">
        <v>46092</v>
      </c>
      <c r="B201">
        <v>186.03</v>
      </c>
      <c r="C201">
        <v>185.91</v>
      </c>
      <c r="D201">
        <v>187.62</v>
      </c>
      <c r="E201">
        <v>184.45</v>
      </c>
      <c r="F201" t="s">
        <v>299</v>
      </c>
      <c r="G201">
        <v>6.7999999999999996E-3</v>
      </c>
    </row>
    <row r="202" spans="1:7" x14ac:dyDescent="0.45">
      <c r="A202" s="4">
        <v>46093</v>
      </c>
      <c r="B202">
        <v>183.14</v>
      </c>
      <c r="C202">
        <v>184.05</v>
      </c>
      <c r="D202">
        <v>184.94</v>
      </c>
      <c r="E202">
        <v>181.75</v>
      </c>
      <c r="F202" t="s">
        <v>298</v>
      </c>
      <c r="G202">
        <v>-1.55E-2</v>
      </c>
    </row>
    <row r="203" spans="1:7" x14ac:dyDescent="0.45">
      <c r="A203" s="4">
        <v>46094</v>
      </c>
      <c r="B203">
        <v>180.25</v>
      </c>
      <c r="C203">
        <v>184.92</v>
      </c>
      <c r="D203">
        <v>186.09</v>
      </c>
      <c r="E203">
        <v>179.94</v>
      </c>
      <c r="F203" t="s">
        <v>297</v>
      </c>
      <c r="G203">
        <v>-1.5800000000000002E-2</v>
      </c>
    </row>
    <row r="204" spans="1:7" x14ac:dyDescent="0.45">
      <c r="A204" s="4">
        <v>46097</v>
      </c>
      <c r="B204">
        <v>183.22</v>
      </c>
      <c r="C204">
        <v>182.97</v>
      </c>
      <c r="D204">
        <v>188.88</v>
      </c>
      <c r="E204">
        <v>181.41</v>
      </c>
      <c r="F204" t="s">
        <v>296</v>
      </c>
      <c r="G204">
        <v>1.6500000000000001E-2</v>
      </c>
    </row>
    <row r="205" spans="1:7" x14ac:dyDescent="0.45">
      <c r="A205" s="4">
        <v>46098</v>
      </c>
      <c r="B205">
        <v>181.93</v>
      </c>
      <c r="C205">
        <v>185.06</v>
      </c>
      <c r="D205">
        <v>185.4</v>
      </c>
      <c r="E205">
        <v>181.68</v>
      </c>
      <c r="F205" t="s">
        <v>295</v>
      </c>
      <c r="G205">
        <v>-7.0000000000000001E-3</v>
      </c>
    </row>
    <row r="206" spans="1:7" x14ac:dyDescent="0.45">
      <c r="A206" s="4">
        <v>46099</v>
      </c>
      <c r="B206">
        <v>180.4</v>
      </c>
      <c r="C206">
        <v>182.48</v>
      </c>
      <c r="D206">
        <v>183.38</v>
      </c>
      <c r="E206">
        <v>180.33</v>
      </c>
      <c r="F206" t="s">
        <v>294</v>
      </c>
      <c r="G206">
        <v>-8.3999999999999995E-3</v>
      </c>
    </row>
    <row r="207" spans="1:7" x14ac:dyDescent="0.45">
      <c r="A207" s="4">
        <v>46100</v>
      </c>
      <c r="B207">
        <v>178.56</v>
      </c>
      <c r="C207">
        <v>178.01</v>
      </c>
      <c r="D207">
        <v>179.98</v>
      </c>
      <c r="E207">
        <v>175.79</v>
      </c>
      <c r="F207" t="s">
        <v>293</v>
      </c>
      <c r="G207">
        <v>-1.0200000000000001E-2</v>
      </c>
    </row>
    <row r="208" spans="1:7" x14ac:dyDescent="0.45">
      <c r="A208" s="4">
        <v>46101</v>
      </c>
      <c r="B208">
        <v>172.7</v>
      </c>
      <c r="C208">
        <v>178</v>
      </c>
      <c r="D208">
        <v>178.26</v>
      </c>
      <c r="E208">
        <v>171.72</v>
      </c>
      <c r="F208" t="s">
        <v>292</v>
      </c>
      <c r="G208">
        <v>-3.2800000000000003E-2</v>
      </c>
    </row>
    <row r="209" spans="1:7" x14ac:dyDescent="0.45">
      <c r="A209" s="4">
        <v>46104</v>
      </c>
      <c r="B209">
        <v>175.64</v>
      </c>
      <c r="C209">
        <v>177.26</v>
      </c>
      <c r="D209">
        <v>178.37</v>
      </c>
      <c r="E209">
        <v>174.76</v>
      </c>
      <c r="F209" t="s">
        <v>291</v>
      </c>
      <c r="G209">
        <v>1.7000000000000001E-2</v>
      </c>
    </row>
    <row r="210" spans="1:7" x14ac:dyDescent="0.45">
      <c r="A210" s="4">
        <v>46105</v>
      </c>
      <c r="B210">
        <v>175.2</v>
      </c>
      <c r="C210">
        <v>174.83</v>
      </c>
      <c r="D210">
        <v>176.22</v>
      </c>
      <c r="E210">
        <v>173.98</v>
      </c>
      <c r="F210" t="s">
        <v>290</v>
      </c>
      <c r="G210">
        <v>-2.5000000000000001E-3</v>
      </c>
    </row>
    <row r="211" spans="1:7" x14ac:dyDescent="0.45">
      <c r="A211" s="4">
        <v>46106</v>
      </c>
      <c r="B211">
        <v>178.68</v>
      </c>
      <c r="C211">
        <v>177.1</v>
      </c>
      <c r="D211">
        <v>181.22</v>
      </c>
      <c r="E211">
        <v>176.85</v>
      </c>
      <c r="F211" t="s">
        <v>289</v>
      </c>
      <c r="G211">
        <v>1.9900000000000001E-2</v>
      </c>
    </row>
    <row r="212" spans="1:7" x14ac:dyDescent="0.45">
      <c r="A212" s="4">
        <v>46107</v>
      </c>
      <c r="B212">
        <v>171.24</v>
      </c>
      <c r="C212">
        <v>176.07</v>
      </c>
      <c r="D212">
        <v>176.51</v>
      </c>
      <c r="E212">
        <v>171.14</v>
      </c>
      <c r="F212" t="s">
        <v>288</v>
      </c>
      <c r="G212">
        <v>-4.1599999999999998E-2</v>
      </c>
    </row>
    <row r="213" spans="1:7" x14ac:dyDescent="0.45">
      <c r="A213" s="4">
        <v>46108</v>
      </c>
      <c r="B213">
        <v>167.52</v>
      </c>
      <c r="C213">
        <v>170</v>
      </c>
      <c r="D213">
        <v>170.97</v>
      </c>
      <c r="E213">
        <v>167.01</v>
      </c>
      <c r="F213" t="s">
        <v>287</v>
      </c>
      <c r="G213">
        <v>-2.1700000000000001E-2</v>
      </c>
    </row>
    <row r="214" spans="1:7" x14ac:dyDescent="0.45">
      <c r="A214" s="4">
        <v>46111</v>
      </c>
      <c r="B214">
        <v>165.17</v>
      </c>
      <c r="C214">
        <v>168.78</v>
      </c>
      <c r="D214">
        <v>169.45</v>
      </c>
      <c r="E214">
        <v>164.27</v>
      </c>
      <c r="F214" t="s">
        <v>286</v>
      </c>
      <c r="G214">
        <v>-1.4E-2</v>
      </c>
    </row>
    <row r="215" spans="1:7" x14ac:dyDescent="0.45">
      <c r="A215" s="4">
        <v>46112</v>
      </c>
      <c r="B215">
        <v>174.4</v>
      </c>
      <c r="C215">
        <v>166.97</v>
      </c>
      <c r="D215">
        <v>174.62</v>
      </c>
      <c r="E215">
        <v>166.96</v>
      </c>
      <c r="F215" t="s">
        <v>285</v>
      </c>
      <c r="G215">
        <v>5.5899999999999998E-2</v>
      </c>
    </row>
    <row r="216" spans="1:7" x14ac:dyDescent="0.45">
      <c r="A216" s="4">
        <v>46113</v>
      </c>
      <c r="B216">
        <v>175.75</v>
      </c>
      <c r="C216">
        <v>176</v>
      </c>
      <c r="D216">
        <v>177.37</v>
      </c>
      <c r="E216">
        <v>174.75</v>
      </c>
      <c r="F216" t="s">
        <v>284</v>
      </c>
      <c r="G216">
        <v>7.7000000000000002E-3</v>
      </c>
    </row>
    <row r="217" spans="1:7" x14ac:dyDescent="0.45">
      <c r="A217" s="4">
        <v>46114</v>
      </c>
      <c r="B217">
        <v>177.39</v>
      </c>
      <c r="C217">
        <v>172.18</v>
      </c>
      <c r="D217">
        <v>177.49</v>
      </c>
      <c r="E217">
        <v>171.37</v>
      </c>
      <c r="F217" t="s">
        <v>283</v>
      </c>
      <c r="G217">
        <v>9.2999999999999992E-3</v>
      </c>
    </row>
    <row r="218" spans="1:7" x14ac:dyDescent="0.45">
      <c r="A218" s="4">
        <v>46118</v>
      </c>
      <c r="B218">
        <v>177.64</v>
      </c>
      <c r="C218">
        <v>177.15</v>
      </c>
      <c r="D218">
        <v>177.79</v>
      </c>
      <c r="E218">
        <v>175.76</v>
      </c>
      <c r="F218" t="s">
        <v>282</v>
      </c>
      <c r="G218">
        <v>1.4E-3</v>
      </c>
    </row>
    <row r="219" spans="1:7" x14ac:dyDescent="0.45">
      <c r="A219" s="4">
        <v>46119</v>
      </c>
      <c r="B219">
        <v>178.1</v>
      </c>
      <c r="C219">
        <v>175.73</v>
      </c>
      <c r="D219">
        <v>178.23</v>
      </c>
      <c r="E219">
        <v>173.66</v>
      </c>
      <c r="F219" t="s">
        <v>281</v>
      </c>
      <c r="G219">
        <v>2.5999999999999999E-3</v>
      </c>
    </row>
    <row r="220" spans="1:7" x14ac:dyDescent="0.45">
      <c r="A220" s="4">
        <v>46120</v>
      </c>
      <c r="B220">
        <v>182.08</v>
      </c>
      <c r="C220">
        <v>184.5</v>
      </c>
      <c r="D220">
        <v>185.26</v>
      </c>
      <c r="E220">
        <v>180.3</v>
      </c>
      <c r="F220" t="s">
        <v>280</v>
      </c>
      <c r="G220">
        <v>2.23E-2</v>
      </c>
    </row>
    <row r="221" spans="1:7" x14ac:dyDescent="0.45">
      <c r="A221" s="4">
        <v>46121</v>
      </c>
      <c r="B221">
        <v>183.91</v>
      </c>
      <c r="C221">
        <v>181.84</v>
      </c>
      <c r="D221">
        <v>184.08</v>
      </c>
      <c r="E221">
        <v>180.62</v>
      </c>
      <c r="F221" t="s">
        <v>279</v>
      </c>
      <c r="G221">
        <v>1.01E-2</v>
      </c>
    </row>
    <row r="222" spans="1:7" x14ac:dyDescent="0.45">
      <c r="A222" s="4">
        <v>46122</v>
      </c>
      <c r="B222">
        <v>188.63</v>
      </c>
      <c r="C222">
        <v>184.31</v>
      </c>
      <c r="D222">
        <v>190</v>
      </c>
      <c r="E222">
        <v>184.3</v>
      </c>
      <c r="F222" t="s">
        <v>278</v>
      </c>
      <c r="G222">
        <v>2.5700000000000001E-2</v>
      </c>
    </row>
    <row r="223" spans="1:7" x14ac:dyDescent="0.45">
      <c r="A223" s="4">
        <v>46125</v>
      </c>
      <c r="B223">
        <v>189.31</v>
      </c>
      <c r="C223">
        <v>186.03</v>
      </c>
      <c r="D223">
        <v>189.66</v>
      </c>
      <c r="E223">
        <v>185.74</v>
      </c>
      <c r="F223" t="s">
        <v>277</v>
      </c>
      <c r="G223">
        <v>3.5999999999999999E-3</v>
      </c>
    </row>
    <row r="224" spans="1:7" x14ac:dyDescent="0.45">
      <c r="A224" s="4">
        <v>46126</v>
      </c>
      <c r="B224">
        <v>196.51</v>
      </c>
      <c r="C224">
        <v>190.84</v>
      </c>
      <c r="D224">
        <v>196.51</v>
      </c>
      <c r="E224">
        <v>190.77</v>
      </c>
      <c r="F224" t="s">
        <v>276</v>
      </c>
      <c r="G224">
        <v>3.7999999999999999E-2</v>
      </c>
    </row>
    <row r="225" spans="1:7" x14ac:dyDescent="0.45">
      <c r="A225" s="4">
        <v>46127</v>
      </c>
      <c r="B225">
        <v>198.87</v>
      </c>
      <c r="C225">
        <v>196.54</v>
      </c>
      <c r="D225">
        <v>200.4</v>
      </c>
      <c r="E225">
        <v>195.74</v>
      </c>
      <c r="F225" t="s">
        <v>275</v>
      </c>
      <c r="G225">
        <v>1.2E-2</v>
      </c>
    </row>
    <row r="226" spans="1:7" x14ac:dyDescent="0.45">
      <c r="A226" s="4">
        <v>46128</v>
      </c>
      <c r="B226">
        <v>198.35</v>
      </c>
      <c r="C226">
        <v>197.43</v>
      </c>
      <c r="D226">
        <v>199.85</v>
      </c>
      <c r="E226">
        <v>195.81</v>
      </c>
      <c r="F226" t="s">
        <v>274</v>
      </c>
      <c r="G226">
        <v>-2.5999999999999999E-3</v>
      </c>
    </row>
    <row r="227" spans="1:7" x14ac:dyDescent="0.45">
      <c r="A227" s="4">
        <v>46129</v>
      </c>
      <c r="B227">
        <v>201.68</v>
      </c>
      <c r="C227">
        <v>199.9</v>
      </c>
      <c r="D227">
        <v>201.7</v>
      </c>
      <c r="E227">
        <v>199.27</v>
      </c>
      <c r="F227" t="s">
        <v>273</v>
      </c>
      <c r="G227">
        <v>1.6799999999999999E-2</v>
      </c>
    </row>
    <row r="228" spans="1:7" x14ac:dyDescent="0.45">
      <c r="A228" s="4">
        <v>46132</v>
      </c>
      <c r="B228">
        <v>202.06</v>
      </c>
      <c r="C228">
        <v>199.98</v>
      </c>
      <c r="D228">
        <v>202.17</v>
      </c>
      <c r="E228">
        <v>197.84</v>
      </c>
      <c r="F228" t="s">
        <v>272</v>
      </c>
      <c r="G228">
        <v>1.9E-3</v>
      </c>
    </row>
    <row r="229" spans="1:7" x14ac:dyDescent="0.45">
      <c r="A229" s="4">
        <v>46133</v>
      </c>
      <c r="B229">
        <v>199.88</v>
      </c>
      <c r="C229">
        <v>202.13</v>
      </c>
      <c r="D229">
        <v>202.75</v>
      </c>
      <c r="E229">
        <v>199</v>
      </c>
      <c r="F229" t="s">
        <v>271</v>
      </c>
      <c r="G229">
        <v>-1.0800000000000001E-2</v>
      </c>
    </row>
    <row r="230" spans="1:7" x14ac:dyDescent="0.45">
      <c r="A230" s="4">
        <v>46134</v>
      </c>
      <c r="B230">
        <v>202.5</v>
      </c>
      <c r="C230">
        <v>200.99</v>
      </c>
      <c r="D230">
        <v>202.5</v>
      </c>
      <c r="E230">
        <v>199</v>
      </c>
      <c r="F230" t="s">
        <v>270</v>
      </c>
      <c r="G230">
        <v>1.3100000000000001E-2</v>
      </c>
    </row>
    <row r="231" spans="1:7" x14ac:dyDescent="0.45">
      <c r="A231" s="4">
        <v>46135</v>
      </c>
      <c r="B231">
        <v>199.64</v>
      </c>
      <c r="C231">
        <v>202.46</v>
      </c>
      <c r="D231">
        <v>203.83</v>
      </c>
      <c r="E231">
        <v>197.22</v>
      </c>
      <c r="F231" t="s">
        <v>269</v>
      </c>
      <c r="G231">
        <v>-1.41E-2</v>
      </c>
    </row>
    <row r="232" spans="1:7" x14ac:dyDescent="0.45">
      <c r="A232" s="4">
        <v>46136</v>
      </c>
      <c r="B232">
        <v>208.27</v>
      </c>
      <c r="C232">
        <v>199.96</v>
      </c>
      <c r="D232">
        <v>210.95</v>
      </c>
      <c r="E232">
        <v>199.81</v>
      </c>
      <c r="F232" t="s">
        <v>268</v>
      </c>
      <c r="G232">
        <v>4.3200000000000002E-2</v>
      </c>
    </row>
    <row r="233" spans="1:7" x14ac:dyDescent="0.45">
      <c r="A233" s="4">
        <v>46139</v>
      </c>
      <c r="B233">
        <v>216.61</v>
      </c>
      <c r="C233">
        <v>209.65</v>
      </c>
      <c r="D233">
        <v>216.82</v>
      </c>
      <c r="E233">
        <v>207.38</v>
      </c>
      <c r="F233" t="s">
        <v>267</v>
      </c>
      <c r="G233">
        <v>0.04</v>
      </c>
    </row>
    <row r="234" spans="1:7" x14ac:dyDescent="0.45">
      <c r="A234" s="4">
        <v>46140</v>
      </c>
      <c r="B234">
        <v>213.17</v>
      </c>
      <c r="C234">
        <v>209.49</v>
      </c>
      <c r="D234">
        <v>214.73</v>
      </c>
      <c r="E234">
        <v>208.2</v>
      </c>
      <c r="F234" t="s">
        <v>266</v>
      </c>
      <c r="G234">
        <v>-1.5900000000000001E-2</v>
      </c>
    </row>
    <row r="235" spans="1:7" x14ac:dyDescent="0.45">
      <c r="A235" s="4">
        <v>46141</v>
      </c>
      <c r="B235">
        <v>209.25</v>
      </c>
      <c r="C235">
        <v>212.7</v>
      </c>
      <c r="D235">
        <v>212.72</v>
      </c>
      <c r="E235">
        <v>207.58</v>
      </c>
      <c r="F235" t="s">
        <v>265</v>
      </c>
      <c r="G235">
        <v>-1.84E-2</v>
      </c>
    </row>
    <row r="236" spans="1:7" x14ac:dyDescent="0.45">
      <c r="A236" s="4">
        <v>46142</v>
      </c>
      <c r="B236">
        <v>199.57</v>
      </c>
      <c r="C236">
        <v>209.93</v>
      </c>
      <c r="D236">
        <v>210.3</v>
      </c>
      <c r="E236">
        <v>198.7</v>
      </c>
      <c r="F236" t="s">
        <v>264</v>
      </c>
      <c r="G236">
        <v>-4.6300000000000001E-2</v>
      </c>
    </row>
    <row r="237" spans="1:7" x14ac:dyDescent="0.45">
      <c r="A237" s="4">
        <v>46143</v>
      </c>
      <c r="B237">
        <v>198.45</v>
      </c>
      <c r="C237">
        <v>201.28</v>
      </c>
      <c r="D237">
        <v>203</v>
      </c>
      <c r="E237">
        <v>197.12</v>
      </c>
      <c r="F237" t="s">
        <v>263</v>
      </c>
      <c r="G237">
        <v>-5.5999999999999999E-3</v>
      </c>
    </row>
    <row r="238" spans="1:7" x14ac:dyDescent="0.45">
      <c r="A238" s="4">
        <v>46146</v>
      </c>
      <c r="B238">
        <v>198.48</v>
      </c>
      <c r="C238">
        <v>199.5</v>
      </c>
      <c r="D238">
        <v>201.73</v>
      </c>
      <c r="E238">
        <v>194.74</v>
      </c>
      <c r="F238" t="s">
        <v>262</v>
      </c>
      <c r="G238">
        <v>2.0000000000000001E-4</v>
      </c>
    </row>
    <row r="239" spans="1:7" x14ac:dyDescent="0.45">
      <c r="A239" s="4">
        <v>46147</v>
      </c>
      <c r="B239">
        <v>196.5</v>
      </c>
      <c r="C239">
        <v>199.3</v>
      </c>
      <c r="D239">
        <v>200.24</v>
      </c>
      <c r="E239">
        <v>196.03</v>
      </c>
      <c r="F239" t="s">
        <v>261</v>
      </c>
      <c r="G239">
        <v>-0.01</v>
      </c>
    </row>
    <row r="240" spans="1:7" x14ac:dyDescent="0.45">
      <c r="A240" s="4">
        <v>46148</v>
      </c>
      <c r="B240">
        <v>207.83</v>
      </c>
      <c r="C240">
        <v>199.89</v>
      </c>
      <c r="D240">
        <v>208.26</v>
      </c>
      <c r="E240">
        <v>198.61</v>
      </c>
      <c r="F240" t="s">
        <v>260</v>
      </c>
      <c r="G240">
        <v>5.7700000000000001E-2</v>
      </c>
    </row>
    <row r="241" spans="1:7" x14ac:dyDescent="0.45">
      <c r="A241" s="4">
        <v>46149</v>
      </c>
      <c r="B241">
        <v>211.5</v>
      </c>
      <c r="C241">
        <v>208.34</v>
      </c>
      <c r="D241">
        <v>214.2</v>
      </c>
      <c r="E241">
        <v>206.5</v>
      </c>
      <c r="F241" t="s">
        <v>259</v>
      </c>
      <c r="G241">
        <v>1.77E-2</v>
      </c>
    </row>
    <row r="242" spans="1:7" x14ac:dyDescent="0.45">
      <c r="A242" s="4">
        <v>46150</v>
      </c>
      <c r="B242">
        <v>215.2</v>
      </c>
      <c r="C242">
        <v>213.03</v>
      </c>
      <c r="D242">
        <v>217.8</v>
      </c>
      <c r="E242">
        <v>212.89</v>
      </c>
      <c r="F242" t="s">
        <v>258</v>
      </c>
      <c r="G242">
        <v>1.7500000000000002E-2</v>
      </c>
    </row>
    <row r="243" spans="1:7" x14ac:dyDescent="0.45">
      <c r="A243" s="4">
        <v>46153</v>
      </c>
      <c r="B243">
        <v>219.44</v>
      </c>
      <c r="C243">
        <v>214.04</v>
      </c>
      <c r="D243">
        <v>222.3</v>
      </c>
      <c r="E243">
        <v>213.89</v>
      </c>
      <c r="F243" t="s">
        <v>257</v>
      </c>
      <c r="G243">
        <v>1.9699999999999999E-2</v>
      </c>
    </row>
    <row r="244" spans="1:7" x14ac:dyDescent="0.45">
      <c r="A244" s="4">
        <v>46154</v>
      </c>
      <c r="B244">
        <v>220.78</v>
      </c>
      <c r="C244">
        <v>218.54</v>
      </c>
      <c r="D244">
        <v>223.75</v>
      </c>
      <c r="E244">
        <v>214.92</v>
      </c>
      <c r="F244" t="s">
        <v>256</v>
      </c>
      <c r="G244">
        <v>6.1000000000000004E-3</v>
      </c>
    </row>
    <row r="245" spans="1:7" x14ac:dyDescent="0.45">
      <c r="A245" s="4">
        <v>46155</v>
      </c>
      <c r="B245">
        <v>225.83</v>
      </c>
      <c r="C245">
        <v>224.93</v>
      </c>
      <c r="D245">
        <v>227.84</v>
      </c>
      <c r="E245">
        <v>221.57</v>
      </c>
      <c r="F245" t="s">
        <v>255</v>
      </c>
      <c r="G245">
        <v>2.29E-2</v>
      </c>
    </row>
    <row r="246" spans="1:7" x14ac:dyDescent="0.45">
      <c r="A246" s="4">
        <v>46156</v>
      </c>
      <c r="B246">
        <v>235.74</v>
      </c>
      <c r="C246">
        <v>229.85</v>
      </c>
      <c r="D246">
        <v>236.54</v>
      </c>
      <c r="E246">
        <v>229.3</v>
      </c>
      <c r="F246" t="s">
        <v>254</v>
      </c>
      <c r="G246">
        <v>4.3900000000000002E-2</v>
      </c>
    </row>
    <row r="247" spans="1:7" x14ac:dyDescent="0.45">
      <c r="A247" s="4">
        <v>46157</v>
      </c>
      <c r="B247">
        <v>225.32</v>
      </c>
      <c r="C247">
        <v>229.76</v>
      </c>
      <c r="D247">
        <v>231.5</v>
      </c>
      <c r="E247">
        <v>224.24</v>
      </c>
      <c r="F247" t="s">
        <v>253</v>
      </c>
      <c r="G247">
        <v>-4.4200000000000003E-2</v>
      </c>
    </row>
    <row r="248" spans="1:7" x14ac:dyDescent="0.45">
      <c r="A248" s="4">
        <v>46160</v>
      </c>
      <c r="B248">
        <v>222.32</v>
      </c>
      <c r="C248">
        <v>229.87</v>
      </c>
      <c r="D248">
        <v>230</v>
      </c>
      <c r="E248">
        <v>218.37</v>
      </c>
      <c r="F248" t="s">
        <v>252</v>
      </c>
      <c r="G248">
        <v>-1.3299999999999999E-2</v>
      </c>
    </row>
    <row r="249" spans="1:7" x14ac:dyDescent="0.45">
      <c r="A249" s="4">
        <v>46161</v>
      </c>
      <c r="B249">
        <v>220.61</v>
      </c>
      <c r="C249">
        <v>219.62</v>
      </c>
      <c r="D249">
        <v>224.48</v>
      </c>
      <c r="E249">
        <v>217.91</v>
      </c>
      <c r="F249" t="s">
        <v>251</v>
      </c>
      <c r="G249">
        <v>-7.7000000000000002E-3</v>
      </c>
    </row>
    <row r="250" spans="1:7" x14ac:dyDescent="0.45">
      <c r="A250" s="4">
        <v>46162</v>
      </c>
      <c r="B250">
        <v>223.47</v>
      </c>
      <c r="C250">
        <v>223.18</v>
      </c>
      <c r="D250">
        <v>226.13</v>
      </c>
      <c r="E250">
        <v>220.49</v>
      </c>
      <c r="F250" t="s">
        <v>250</v>
      </c>
      <c r="G250">
        <v>1.2999999999999999E-2</v>
      </c>
    </row>
    <row r="251" spans="1:7" x14ac:dyDescent="0.45">
      <c r="A251" s="4">
        <v>46163</v>
      </c>
      <c r="B251">
        <v>219.51</v>
      </c>
      <c r="C251">
        <v>222.29</v>
      </c>
      <c r="D251">
        <v>227.4</v>
      </c>
      <c r="E251">
        <v>217.93</v>
      </c>
      <c r="F251" t="s">
        <v>249</v>
      </c>
      <c r="G251">
        <v>-1.77E-2</v>
      </c>
    </row>
    <row r="252" spans="1:7" x14ac:dyDescent="0.45">
      <c r="A252" s="4">
        <v>46164</v>
      </c>
      <c r="B252">
        <v>215.33</v>
      </c>
      <c r="C252">
        <v>220.9</v>
      </c>
      <c r="D252">
        <v>221.01</v>
      </c>
      <c r="E252">
        <v>214.8</v>
      </c>
      <c r="F252" t="s">
        <v>248</v>
      </c>
      <c r="G252">
        <v>-1.9E-2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277B-1A8A-4E94-9AB7-8A0BA4F7BDB3}">
  <dimension ref="A1:G252"/>
  <sheetViews>
    <sheetView topLeftCell="A232" workbookViewId="0">
      <selection activeCell="M9" sqref="M9"/>
    </sheetView>
  </sheetViews>
  <sheetFormatPr defaultRowHeight="14.25" x14ac:dyDescent="0.45"/>
  <cols>
    <col min="1" max="1" width="9.9296875" bestFit="1" customWidth="1"/>
    <col min="2" max="2" width="7.06640625" bestFit="1" customWidth="1"/>
    <col min="3" max="3" width="7.19921875" bestFit="1" customWidth="1"/>
    <col min="4" max="5" width="6.73046875" bestFit="1" customWidth="1"/>
    <col min="6" max="6" width="7.6640625" bestFit="1" customWidth="1"/>
    <col min="7" max="7" width="10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4">
        <v>45800</v>
      </c>
      <c r="B2">
        <v>339.34</v>
      </c>
      <c r="C2">
        <v>337.92</v>
      </c>
      <c r="D2">
        <v>343.18</v>
      </c>
      <c r="E2">
        <v>333.21</v>
      </c>
      <c r="F2" t="s">
        <v>739</v>
      </c>
      <c r="G2">
        <v>-5.0000000000000001E-3</v>
      </c>
    </row>
    <row r="3" spans="1:7" x14ac:dyDescent="0.45">
      <c r="A3" s="4">
        <v>45804</v>
      </c>
      <c r="B3">
        <v>362.89</v>
      </c>
      <c r="C3">
        <v>347.35</v>
      </c>
      <c r="D3">
        <v>363.79</v>
      </c>
      <c r="E3">
        <v>347.32</v>
      </c>
      <c r="F3" t="s">
        <v>738</v>
      </c>
      <c r="G3">
        <v>6.9400000000000003E-2</v>
      </c>
    </row>
    <row r="4" spans="1:7" x14ac:dyDescent="0.45">
      <c r="A4" s="4">
        <v>45805</v>
      </c>
      <c r="B4">
        <v>356.9</v>
      </c>
      <c r="C4">
        <v>364.84</v>
      </c>
      <c r="D4">
        <v>365</v>
      </c>
      <c r="E4">
        <v>355.91</v>
      </c>
      <c r="F4" t="s">
        <v>737</v>
      </c>
      <c r="G4">
        <v>-1.6500000000000001E-2</v>
      </c>
    </row>
    <row r="5" spans="1:7" x14ac:dyDescent="0.45">
      <c r="A5" s="4">
        <v>45806</v>
      </c>
      <c r="B5">
        <v>358.43</v>
      </c>
      <c r="C5">
        <v>365.29</v>
      </c>
      <c r="D5">
        <v>367.71</v>
      </c>
      <c r="E5">
        <v>356</v>
      </c>
      <c r="F5" t="s">
        <v>736</v>
      </c>
      <c r="G5">
        <v>4.3E-3</v>
      </c>
    </row>
    <row r="6" spans="1:7" x14ac:dyDescent="0.45">
      <c r="A6" s="4">
        <v>45807</v>
      </c>
      <c r="B6">
        <v>346.46</v>
      </c>
      <c r="C6">
        <v>355.52</v>
      </c>
      <c r="D6">
        <v>363.68</v>
      </c>
      <c r="E6">
        <v>345.29</v>
      </c>
      <c r="F6" t="s">
        <v>735</v>
      </c>
      <c r="G6">
        <v>-3.3399999999999999E-2</v>
      </c>
    </row>
    <row r="7" spans="1:7" x14ac:dyDescent="0.45">
      <c r="A7" s="4">
        <v>45810</v>
      </c>
      <c r="B7">
        <v>342.69</v>
      </c>
      <c r="C7">
        <v>343.5</v>
      </c>
      <c r="D7">
        <v>348.02</v>
      </c>
      <c r="E7">
        <v>333.33</v>
      </c>
      <c r="F7" t="s">
        <v>734</v>
      </c>
      <c r="G7">
        <v>-1.09E-2</v>
      </c>
    </row>
    <row r="8" spans="1:7" x14ac:dyDescent="0.45">
      <c r="A8" s="4">
        <v>45811</v>
      </c>
      <c r="B8">
        <v>344.27</v>
      </c>
      <c r="C8">
        <v>346.6</v>
      </c>
      <c r="D8">
        <v>355.4</v>
      </c>
      <c r="E8">
        <v>343.04</v>
      </c>
      <c r="F8" t="s">
        <v>733</v>
      </c>
      <c r="G8">
        <v>4.5999999999999999E-3</v>
      </c>
    </row>
    <row r="9" spans="1:7" x14ac:dyDescent="0.45">
      <c r="A9" s="4">
        <v>45812</v>
      </c>
      <c r="B9">
        <v>332.05</v>
      </c>
      <c r="C9">
        <v>345.1</v>
      </c>
      <c r="D9">
        <v>345.6</v>
      </c>
      <c r="E9">
        <v>327.33</v>
      </c>
      <c r="F9" t="s">
        <v>732</v>
      </c>
      <c r="G9">
        <v>-3.5499999999999997E-2</v>
      </c>
    </row>
    <row r="10" spans="1:7" x14ac:dyDescent="0.45">
      <c r="A10" s="4">
        <v>45813</v>
      </c>
      <c r="B10">
        <v>284.7</v>
      </c>
      <c r="C10">
        <v>322.49</v>
      </c>
      <c r="D10">
        <v>324.55</v>
      </c>
      <c r="E10">
        <v>273.20999999999998</v>
      </c>
      <c r="F10" t="s">
        <v>731</v>
      </c>
      <c r="G10">
        <v>-0.1426</v>
      </c>
    </row>
    <row r="11" spans="1:7" x14ac:dyDescent="0.45">
      <c r="A11" s="4">
        <v>45814</v>
      </c>
      <c r="B11">
        <v>295.14</v>
      </c>
      <c r="C11">
        <v>298.83</v>
      </c>
      <c r="D11">
        <v>305.5</v>
      </c>
      <c r="E11">
        <v>291.14</v>
      </c>
      <c r="F11" t="s">
        <v>314</v>
      </c>
      <c r="G11">
        <v>3.6700000000000003E-2</v>
      </c>
    </row>
    <row r="12" spans="1:7" x14ac:dyDescent="0.45">
      <c r="A12" s="4">
        <v>45817</v>
      </c>
      <c r="B12">
        <v>308.58</v>
      </c>
      <c r="C12">
        <v>285.95</v>
      </c>
      <c r="D12">
        <v>309.83</v>
      </c>
      <c r="E12">
        <v>281.85000000000002</v>
      </c>
      <c r="F12" t="s">
        <v>730</v>
      </c>
      <c r="G12">
        <v>4.5499999999999999E-2</v>
      </c>
    </row>
    <row r="13" spans="1:7" x14ac:dyDescent="0.45">
      <c r="A13" s="4">
        <v>45818</v>
      </c>
      <c r="B13">
        <v>326.08999999999997</v>
      </c>
      <c r="C13">
        <v>314.94</v>
      </c>
      <c r="D13">
        <v>327.83</v>
      </c>
      <c r="E13">
        <v>310.67</v>
      </c>
      <c r="F13" t="s">
        <v>729</v>
      </c>
      <c r="G13">
        <v>5.67E-2</v>
      </c>
    </row>
    <row r="14" spans="1:7" x14ac:dyDescent="0.45">
      <c r="A14" s="4">
        <v>45819</v>
      </c>
      <c r="B14">
        <v>326.43</v>
      </c>
      <c r="C14">
        <v>334.39</v>
      </c>
      <c r="D14">
        <v>335.5</v>
      </c>
      <c r="E14">
        <v>322.5</v>
      </c>
      <c r="F14" t="s">
        <v>728</v>
      </c>
      <c r="G14">
        <v>1E-3</v>
      </c>
    </row>
    <row r="15" spans="1:7" x14ac:dyDescent="0.45">
      <c r="A15" s="4">
        <v>45820</v>
      </c>
      <c r="B15">
        <v>319.11</v>
      </c>
      <c r="C15">
        <v>323.08</v>
      </c>
      <c r="D15">
        <v>332.56</v>
      </c>
      <c r="E15">
        <v>316.86</v>
      </c>
      <c r="F15" t="s">
        <v>727</v>
      </c>
      <c r="G15">
        <v>-2.24E-2</v>
      </c>
    </row>
    <row r="16" spans="1:7" x14ac:dyDescent="0.45">
      <c r="A16" s="4">
        <v>45821</v>
      </c>
      <c r="B16">
        <v>325.31</v>
      </c>
      <c r="C16">
        <v>313.97000000000003</v>
      </c>
      <c r="D16">
        <v>332.99</v>
      </c>
      <c r="E16">
        <v>313.3</v>
      </c>
      <c r="F16" t="s">
        <v>726</v>
      </c>
      <c r="G16">
        <v>1.9400000000000001E-2</v>
      </c>
    </row>
    <row r="17" spans="1:7" x14ac:dyDescent="0.45">
      <c r="A17" s="4">
        <v>45824</v>
      </c>
      <c r="B17">
        <v>329.13</v>
      </c>
      <c r="C17">
        <v>331.29</v>
      </c>
      <c r="D17">
        <v>332.05</v>
      </c>
      <c r="E17">
        <v>326.41000000000003</v>
      </c>
      <c r="F17" t="s">
        <v>696</v>
      </c>
      <c r="G17">
        <v>1.17E-2</v>
      </c>
    </row>
    <row r="18" spans="1:7" x14ac:dyDescent="0.45">
      <c r="A18" s="4">
        <v>45825</v>
      </c>
      <c r="B18">
        <v>316.35000000000002</v>
      </c>
      <c r="C18">
        <v>326.08999999999997</v>
      </c>
      <c r="D18">
        <v>327.26</v>
      </c>
      <c r="E18">
        <v>314.74</v>
      </c>
      <c r="F18" t="s">
        <v>725</v>
      </c>
      <c r="G18">
        <v>-3.8800000000000001E-2</v>
      </c>
    </row>
    <row r="19" spans="1:7" x14ac:dyDescent="0.45">
      <c r="A19" s="4">
        <v>45826</v>
      </c>
      <c r="B19">
        <v>322.05</v>
      </c>
      <c r="C19">
        <v>317.31</v>
      </c>
      <c r="D19">
        <v>329.32</v>
      </c>
      <c r="E19">
        <v>315.45</v>
      </c>
      <c r="F19" t="s">
        <v>724</v>
      </c>
      <c r="G19">
        <v>1.7999999999999999E-2</v>
      </c>
    </row>
    <row r="20" spans="1:7" x14ac:dyDescent="0.45">
      <c r="A20" s="4">
        <v>45828</v>
      </c>
      <c r="B20">
        <v>322.16000000000003</v>
      </c>
      <c r="C20">
        <v>327.95</v>
      </c>
      <c r="D20">
        <v>332.36</v>
      </c>
      <c r="E20">
        <v>317.77999999999997</v>
      </c>
      <c r="F20" t="s">
        <v>723</v>
      </c>
      <c r="G20">
        <v>2.9999999999999997E-4</v>
      </c>
    </row>
    <row r="21" spans="1:7" x14ac:dyDescent="0.45">
      <c r="A21" s="4">
        <v>45831</v>
      </c>
      <c r="B21">
        <v>348.68</v>
      </c>
      <c r="C21">
        <v>327.54000000000002</v>
      </c>
      <c r="D21">
        <v>357.54</v>
      </c>
      <c r="E21">
        <v>327.48</v>
      </c>
      <c r="F21" t="s">
        <v>722</v>
      </c>
      <c r="G21">
        <v>8.2299999999999998E-2</v>
      </c>
    </row>
    <row r="22" spans="1:7" x14ac:dyDescent="0.45">
      <c r="A22" s="4">
        <v>45832</v>
      </c>
      <c r="B22">
        <v>340.47</v>
      </c>
      <c r="C22">
        <v>356.17</v>
      </c>
      <c r="D22">
        <v>356.26</v>
      </c>
      <c r="E22">
        <v>340.44</v>
      </c>
      <c r="F22" t="s">
        <v>721</v>
      </c>
      <c r="G22">
        <v>-2.35E-2</v>
      </c>
    </row>
    <row r="23" spans="1:7" x14ac:dyDescent="0.45">
      <c r="A23" s="4">
        <v>45833</v>
      </c>
      <c r="B23">
        <v>327.55</v>
      </c>
      <c r="C23">
        <v>342.7</v>
      </c>
      <c r="D23">
        <v>343</v>
      </c>
      <c r="E23">
        <v>320.39999999999998</v>
      </c>
      <c r="F23" t="s">
        <v>720</v>
      </c>
      <c r="G23">
        <v>-3.7900000000000003E-2</v>
      </c>
    </row>
    <row r="24" spans="1:7" x14ac:dyDescent="0.45">
      <c r="A24" s="4">
        <v>45834</v>
      </c>
      <c r="B24">
        <v>325.77999999999997</v>
      </c>
      <c r="C24">
        <v>324.61</v>
      </c>
      <c r="D24">
        <v>331.05</v>
      </c>
      <c r="E24">
        <v>323.61</v>
      </c>
      <c r="F24" t="s">
        <v>719</v>
      </c>
      <c r="G24">
        <v>-5.4000000000000003E-3</v>
      </c>
    </row>
    <row r="25" spans="1:7" x14ac:dyDescent="0.45">
      <c r="A25" s="4">
        <v>45835</v>
      </c>
      <c r="B25">
        <v>323.63</v>
      </c>
      <c r="C25">
        <v>324.51</v>
      </c>
      <c r="D25">
        <v>329.34</v>
      </c>
      <c r="E25">
        <v>317.49</v>
      </c>
      <c r="F25" t="s">
        <v>718</v>
      </c>
      <c r="G25">
        <v>-6.6E-3</v>
      </c>
    </row>
    <row r="26" spans="1:7" x14ac:dyDescent="0.45">
      <c r="A26" s="4">
        <v>45838</v>
      </c>
      <c r="B26">
        <v>317.66000000000003</v>
      </c>
      <c r="C26">
        <v>319.89999999999998</v>
      </c>
      <c r="D26">
        <v>325.58</v>
      </c>
      <c r="E26">
        <v>316.60000000000002</v>
      </c>
      <c r="F26" t="s">
        <v>717</v>
      </c>
      <c r="G26">
        <v>-1.84E-2</v>
      </c>
    </row>
    <row r="27" spans="1:7" x14ac:dyDescent="0.45">
      <c r="A27" s="4">
        <v>45839</v>
      </c>
      <c r="B27">
        <v>300.70999999999998</v>
      </c>
      <c r="C27">
        <v>298.45999999999998</v>
      </c>
      <c r="D27">
        <v>305.89</v>
      </c>
      <c r="E27">
        <v>293.20999999999998</v>
      </c>
      <c r="F27" t="s">
        <v>716</v>
      </c>
      <c r="G27">
        <v>-5.3400000000000003E-2</v>
      </c>
    </row>
    <row r="28" spans="1:7" x14ac:dyDescent="0.45">
      <c r="A28" s="4">
        <v>45840</v>
      </c>
      <c r="B28">
        <v>315.64999999999998</v>
      </c>
      <c r="C28">
        <v>312.63</v>
      </c>
      <c r="D28">
        <v>316.83</v>
      </c>
      <c r="E28">
        <v>303.82</v>
      </c>
      <c r="F28" t="s">
        <v>715</v>
      </c>
      <c r="G28">
        <v>4.9700000000000001E-2</v>
      </c>
    </row>
    <row r="29" spans="1:7" x14ac:dyDescent="0.45">
      <c r="A29" s="4">
        <v>45841</v>
      </c>
      <c r="B29">
        <v>315.35000000000002</v>
      </c>
      <c r="C29">
        <v>317.99</v>
      </c>
      <c r="D29">
        <v>318.45</v>
      </c>
      <c r="E29">
        <v>312.76</v>
      </c>
      <c r="F29" t="s">
        <v>714</v>
      </c>
      <c r="G29">
        <v>-1E-3</v>
      </c>
    </row>
    <row r="30" spans="1:7" x14ac:dyDescent="0.45">
      <c r="A30" s="4">
        <v>45845</v>
      </c>
      <c r="B30">
        <v>293.94</v>
      </c>
      <c r="C30">
        <v>291.37</v>
      </c>
      <c r="D30">
        <v>296.14999999999998</v>
      </c>
      <c r="E30">
        <v>288.77</v>
      </c>
      <c r="F30" t="s">
        <v>713</v>
      </c>
      <c r="G30">
        <v>-6.7900000000000002E-2</v>
      </c>
    </row>
    <row r="31" spans="1:7" x14ac:dyDescent="0.45">
      <c r="A31" s="4">
        <v>45846</v>
      </c>
      <c r="B31">
        <v>297.81</v>
      </c>
      <c r="C31">
        <v>297</v>
      </c>
      <c r="D31">
        <v>304.05</v>
      </c>
      <c r="E31">
        <v>294.35000000000002</v>
      </c>
      <c r="F31" t="s">
        <v>712</v>
      </c>
      <c r="G31">
        <v>1.32E-2</v>
      </c>
    </row>
    <row r="32" spans="1:7" x14ac:dyDescent="0.45">
      <c r="A32" s="4">
        <v>45847</v>
      </c>
      <c r="B32">
        <v>295.88</v>
      </c>
      <c r="C32">
        <v>297.55</v>
      </c>
      <c r="D32">
        <v>300.14999999999998</v>
      </c>
      <c r="E32">
        <v>293.55</v>
      </c>
      <c r="F32" t="s">
        <v>711</v>
      </c>
      <c r="G32">
        <v>-6.4999999999999997E-3</v>
      </c>
    </row>
    <row r="33" spans="1:7" x14ac:dyDescent="0.45">
      <c r="A33" s="4">
        <v>45848</v>
      </c>
      <c r="B33">
        <v>309.87</v>
      </c>
      <c r="C33">
        <v>300.05</v>
      </c>
      <c r="D33">
        <v>310.48</v>
      </c>
      <c r="E33">
        <v>300</v>
      </c>
      <c r="F33" t="s">
        <v>710</v>
      </c>
      <c r="G33">
        <v>4.7300000000000002E-2</v>
      </c>
    </row>
    <row r="34" spans="1:7" x14ac:dyDescent="0.45">
      <c r="A34" s="4">
        <v>45849</v>
      </c>
      <c r="B34">
        <v>313.51</v>
      </c>
      <c r="C34">
        <v>307.89</v>
      </c>
      <c r="D34">
        <v>314.08999999999997</v>
      </c>
      <c r="E34">
        <v>305.64999999999998</v>
      </c>
      <c r="F34" t="s">
        <v>709</v>
      </c>
      <c r="G34">
        <v>1.17E-2</v>
      </c>
    </row>
    <row r="35" spans="1:7" x14ac:dyDescent="0.45">
      <c r="A35" s="4">
        <v>45852</v>
      </c>
      <c r="B35">
        <v>316.89999999999998</v>
      </c>
      <c r="C35">
        <v>317.73</v>
      </c>
      <c r="D35">
        <v>322.60000000000002</v>
      </c>
      <c r="E35">
        <v>312.67</v>
      </c>
      <c r="F35" t="s">
        <v>708</v>
      </c>
      <c r="G35">
        <v>1.0800000000000001E-2</v>
      </c>
    </row>
    <row r="36" spans="1:7" x14ac:dyDescent="0.45">
      <c r="A36" s="4">
        <v>45853</v>
      </c>
      <c r="B36">
        <v>310.77999999999997</v>
      </c>
      <c r="C36">
        <v>319.67</v>
      </c>
      <c r="D36">
        <v>321.2</v>
      </c>
      <c r="E36">
        <v>310.5</v>
      </c>
      <c r="F36" t="s">
        <v>707</v>
      </c>
      <c r="G36">
        <v>-1.9300000000000001E-2</v>
      </c>
    </row>
    <row r="37" spans="1:7" x14ac:dyDescent="0.45">
      <c r="A37" s="4">
        <v>45854</v>
      </c>
      <c r="B37">
        <v>321.67</v>
      </c>
      <c r="C37">
        <v>312.8</v>
      </c>
      <c r="D37">
        <v>323.5</v>
      </c>
      <c r="E37">
        <v>312.62</v>
      </c>
      <c r="F37" t="s">
        <v>706</v>
      </c>
      <c r="G37">
        <v>3.5000000000000003E-2</v>
      </c>
    </row>
    <row r="38" spans="1:7" x14ac:dyDescent="0.45">
      <c r="A38" s="4">
        <v>45855</v>
      </c>
      <c r="B38">
        <v>319.41000000000003</v>
      </c>
      <c r="C38">
        <v>323.14999999999998</v>
      </c>
      <c r="D38">
        <v>324.33999999999997</v>
      </c>
      <c r="E38">
        <v>317.06</v>
      </c>
      <c r="F38" t="s">
        <v>705</v>
      </c>
      <c r="G38">
        <v>-7.0000000000000001E-3</v>
      </c>
    </row>
    <row r="39" spans="1:7" x14ac:dyDescent="0.45">
      <c r="A39" s="4">
        <v>45856</v>
      </c>
      <c r="B39">
        <v>329.65</v>
      </c>
      <c r="C39">
        <v>321.66000000000003</v>
      </c>
      <c r="D39">
        <v>330.9</v>
      </c>
      <c r="E39">
        <v>321.42</v>
      </c>
      <c r="F39" t="s">
        <v>704</v>
      </c>
      <c r="G39">
        <v>3.2099999999999997E-2</v>
      </c>
    </row>
    <row r="40" spans="1:7" x14ac:dyDescent="0.45">
      <c r="A40" s="4">
        <v>45859</v>
      </c>
      <c r="B40">
        <v>328.49</v>
      </c>
      <c r="C40">
        <v>334.4</v>
      </c>
      <c r="D40">
        <v>338</v>
      </c>
      <c r="E40">
        <v>326.88</v>
      </c>
      <c r="F40" t="s">
        <v>703</v>
      </c>
      <c r="G40">
        <v>-3.5000000000000001E-3</v>
      </c>
    </row>
    <row r="41" spans="1:7" x14ac:dyDescent="0.45">
      <c r="A41" s="4">
        <v>45860</v>
      </c>
      <c r="B41">
        <v>332.11</v>
      </c>
      <c r="C41">
        <v>329.74</v>
      </c>
      <c r="D41">
        <v>335.41</v>
      </c>
      <c r="E41">
        <v>321.55</v>
      </c>
      <c r="F41" t="s">
        <v>702</v>
      </c>
      <c r="G41">
        <v>1.0999999999999999E-2</v>
      </c>
    </row>
    <row r="42" spans="1:7" x14ac:dyDescent="0.45">
      <c r="A42" s="4">
        <v>45861</v>
      </c>
      <c r="B42">
        <v>332.56</v>
      </c>
      <c r="C42">
        <v>330.9</v>
      </c>
      <c r="D42">
        <v>336.2</v>
      </c>
      <c r="E42">
        <v>328.67</v>
      </c>
      <c r="F42" t="s">
        <v>701</v>
      </c>
      <c r="G42">
        <v>1.4E-3</v>
      </c>
    </row>
    <row r="43" spans="1:7" x14ac:dyDescent="0.45">
      <c r="A43" s="4">
        <v>45862</v>
      </c>
      <c r="B43">
        <v>305.3</v>
      </c>
      <c r="C43">
        <v>310</v>
      </c>
      <c r="D43">
        <v>310.14999999999998</v>
      </c>
      <c r="E43">
        <v>300.41000000000003</v>
      </c>
      <c r="F43" t="s">
        <v>700</v>
      </c>
      <c r="G43">
        <v>-8.2000000000000003E-2</v>
      </c>
    </row>
    <row r="44" spans="1:7" x14ac:dyDescent="0.45">
      <c r="A44" s="4">
        <v>45863</v>
      </c>
      <c r="B44">
        <v>316.06</v>
      </c>
      <c r="C44">
        <v>308.74</v>
      </c>
      <c r="D44">
        <v>323.63</v>
      </c>
      <c r="E44">
        <v>308.01</v>
      </c>
      <c r="F44" t="s">
        <v>699</v>
      </c>
      <c r="G44">
        <v>3.5200000000000002E-2</v>
      </c>
    </row>
    <row r="45" spans="1:7" x14ac:dyDescent="0.45">
      <c r="A45" s="4">
        <v>45866</v>
      </c>
      <c r="B45">
        <v>325.58999999999997</v>
      </c>
      <c r="C45">
        <v>318.45</v>
      </c>
      <c r="D45">
        <v>330.49</v>
      </c>
      <c r="E45">
        <v>315.69</v>
      </c>
      <c r="F45" t="s">
        <v>698</v>
      </c>
      <c r="G45">
        <v>3.0200000000000001E-2</v>
      </c>
    </row>
    <row r="46" spans="1:7" x14ac:dyDescent="0.45">
      <c r="A46" s="4">
        <v>45867</v>
      </c>
      <c r="B46">
        <v>321.2</v>
      </c>
      <c r="C46">
        <v>325.55</v>
      </c>
      <c r="D46">
        <v>326.25</v>
      </c>
      <c r="E46">
        <v>318.25</v>
      </c>
      <c r="F46" t="s">
        <v>697</v>
      </c>
      <c r="G46">
        <v>-1.35E-2</v>
      </c>
    </row>
    <row r="47" spans="1:7" x14ac:dyDescent="0.45">
      <c r="A47" s="4">
        <v>45868</v>
      </c>
      <c r="B47">
        <v>319.04000000000002</v>
      </c>
      <c r="C47">
        <v>322.18</v>
      </c>
      <c r="D47">
        <v>324.45</v>
      </c>
      <c r="E47">
        <v>311.62</v>
      </c>
      <c r="F47" t="s">
        <v>696</v>
      </c>
      <c r="G47">
        <v>-6.7000000000000002E-3</v>
      </c>
    </row>
    <row r="48" spans="1:7" x14ac:dyDescent="0.45">
      <c r="A48" s="4">
        <v>45869</v>
      </c>
      <c r="B48">
        <v>308.27</v>
      </c>
      <c r="C48">
        <v>319.61</v>
      </c>
      <c r="D48">
        <v>321.37</v>
      </c>
      <c r="E48">
        <v>306.10000000000002</v>
      </c>
      <c r="F48" t="s">
        <v>695</v>
      </c>
      <c r="G48">
        <v>-3.3799999999999997E-2</v>
      </c>
    </row>
    <row r="49" spans="1:7" x14ac:dyDescent="0.45">
      <c r="A49" s="4">
        <v>45870</v>
      </c>
      <c r="B49">
        <v>302.63</v>
      </c>
      <c r="C49">
        <v>306.2</v>
      </c>
      <c r="D49">
        <v>309.31</v>
      </c>
      <c r="E49">
        <v>297.82</v>
      </c>
      <c r="F49" t="s">
        <v>694</v>
      </c>
      <c r="G49">
        <v>-1.83E-2</v>
      </c>
    </row>
    <row r="50" spans="1:7" x14ac:dyDescent="0.45">
      <c r="A50" s="4">
        <v>45873</v>
      </c>
      <c r="B50">
        <v>309.26</v>
      </c>
      <c r="C50">
        <v>309.08</v>
      </c>
      <c r="D50">
        <v>312.12</v>
      </c>
      <c r="E50">
        <v>303</v>
      </c>
      <c r="F50" t="s">
        <v>693</v>
      </c>
      <c r="G50">
        <v>2.1899999999999999E-2</v>
      </c>
    </row>
    <row r="51" spans="1:7" x14ac:dyDescent="0.45">
      <c r="A51" s="4">
        <v>45874</v>
      </c>
      <c r="B51">
        <v>308.72000000000003</v>
      </c>
      <c r="C51">
        <v>308.95</v>
      </c>
      <c r="D51">
        <v>312.45</v>
      </c>
      <c r="E51">
        <v>305.5</v>
      </c>
      <c r="F51" t="s">
        <v>692</v>
      </c>
      <c r="G51">
        <v>-1.6999999999999999E-3</v>
      </c>
    </row>
    <row r="52" spans="1:7" x14ac:dyDescent="0.45">
      <c r="A52" s="4">
        <v>45875</v>
      </c>
      <c r="B52">
        <v>319.91000000000003</v>
      </c>
      <c r="C52">
        <v>307.89</v>
      </c>
      <c r="D52">
        <v>320.47000000000003</v>
      </c>
      <c r="E52">
        <v>306.93</v>
      </c>
      <c r="F52" t="s">
        <v>691</v>
      </c>
      <c r="G52">
        <v>3.6200000000000003E-2</v>
      </c>
    </row>
    <row r="53" spans="1:7" x14ac:dyDescent="0.45">
      <c r="A53" s="4">
        <v>45876</v>
      </c>
      <c r="B53">
        <v>322.27</v>
      </c>
      <c r="C53">
        <v>319.79000000000002</v>
      </c>
      <c r="D53">
        <v>322.39999999999998</v>
      </c>
      <c r="E53">
        <v>316.16000000000003</v>
      </c>
      <c r="F53" t="s">
        <v>690</v>
      </c>
      <c r="G53">
        <v>7.4000000000000003E-3</v>
      </c>
    </row>
    <row r="54" spans="1:7" x14ac:dyDescent="0.45">
      <c r="A54" s="4">
        <v>45877</v>
      </c>
      <c r="B54">
        <v>329.65</v>
      </c>
      <c r="C54">
        <v>321.43</v>
      </c>
      <c r="D54">
        <v>335.15</v>
      </c>
      <c r="E54">
        <v>320.98</v>
      </c>
      <c r="F54" t="s">
        <v>689</v>
      </c>
      <c r="G54">
        <v>2.29E-2</v>
      </c>
    </row>
    <row r="55" spans="1:7" x14ac:dyDescent="0.45">
      <c r="A55" s="4">
        <v>45880</v>
      </c>
      <c r="B55">
        <v>339.03</v>
      </c>
      <c r="C55">
        <v>335</v>
      </c>
      <c r="D55">
        <v>346.64</v>
      </c>
      <c r="E55">
        <v>334.15</v>
      </c>
      <c r="F55" t="s">
        <v>688</v>
      </c>
      <c r="G55">
        <v>2.8500000000000001E-2</v>
      </c>
    </row>
    <row r="56" spans="1:7" x14ac:dyDescent="0.45">
      <c r="A56" s="4">
        <v>45881</v>
      </c>
      <c r="B56">
        <v>340.84</v>
      </c>
      <c r="C56">
        <v>345</v>
      </c>
      <c r="D56">
        <v>345.26</v>
      </c>
      <c r="E56">
        <v>332.94</v>
      </c>
      <c r="F56" t="s">
        <v>621</v>
      </c>
      <c r="G56">
        <v>5.3E-3</v>
      </c>
    </row>
    <row r="57" spans="1:7" x14ac:dyDescent="0.45">
      <c r="A57" s="4">
        <v>45882</v>
      </c>
      <c r="B57">
        <v>339.38</v>
      </c>
      <c r="C57">
        <v>341.5</v>
      </c>
      <c r="D57">
        <v>348.98</v>
      </c>
      <c r="E57">
        <v>338.2</v>
      </c>
      <c r="F57" t="s">
        <v>687</v>
      </c>
      <c r="G57">
        <v>-4.3E-3</v>
      </c>
    </row>
    <row r="58" spans="1:7" x14ac:dyDescent="0.45">
      <c r="A58" s="4">
        <v>45883</v>
      </c>
      <c r="B58">
        <v>335.58</v>
      </c>
      <c r="C58">
        <v>335.76</v>
      </c>
      <c r="D58">
        <v>340.47</v>
      </c>
      <c r="E58">
        <v>330.4</v>
      </c>
      <c r="F58" t="s">
        <v>686</v>
      </c>
      <c r="G58">
        <v>-1.12E-2</v>
      </c>
    </row>
    <row r="59" spans="1:7" x14ac:dyDescent="0.45">
      <c r="A59" s="4">
        <v>45884</v>
      </c>
      <c r="B59">
        <v>330.56</v>
      </c>
      <c r="C59">
        <v>337.65</v>
      </c>
      <c r="D59">
        <v>339.3</v>
      </c>
      <c r="E59">
        <v>327.02</v>
      </c>
      <c r="F59" t="s">
        <v>685</v>
      </c>
      <c r="G59">
        <v>-1.4999999999999999E-2</v>
      </c>
    </row>
    <row r="60" spans="1:7" x14ac:dyDescent="0.45">
      <c r="A60" s="4">
        <v>45887</v>
      </c>
      <c r="B60">
        <v>335.16</v>
      </c>
      <c r="C60">
        <v>329.62</v>
      </c>
      <c r="D60">
        <v>336.27</v>
      </c>
      <c r="E60">
        <v>329.59</v>
      </c>
      <c r="F60" t="s">
        <v>684</v>
      </c>
      <c r="G60">
        <v>1.3899999999999999E-2</v>
      </c>
    </row>
    <row r="61" spans="1:7" x14ac:dyDescent="0.45">
      <c r="A61" s="4">
        <v>45888</v>
      </c>
      <c r="B61">
        <v>329.31</v>
      </c>
      <c r="C61">
        <v>335.79</v>
      </c>
      <c r="D61">
        <v>340.55</v>
      </c>
      <c r="E61">
        <v>327.85</v>
      </c>
      <c r="F61" t="s">
        <v>683</v>
      </c>
      <c r="G61">
        <v>-1.7500000000000002E-2</v>
      </c>
    </row>
    <row r="62" spans="1:7" x14ac:dyDescent="0.45">
      <c r="A62" s="4">
        <v>45889</v>
      </c>
      <c r="B62">
        <v>323.89999999999998</v>
      </c>
      <c r="C62">
        <v>329.22</v>
      </c>
      <c r="D62">
        <v>331.37</v>
      </c>
      <c r="E62">
        <v>314.60000000000002</v>
      </c>
      <c r="F62" t="s">
        <v>682</v>
      </c>
      <c r="G62">
        <v>-1.6400000000000001E-2</v>
      </c>
    </row>
    <row r="63" spans="1:7" x14ac:dyDescent="0.45">
      <c r="A63" s="4">
        <v>45890</v>
      </c>
      <c r="B63">
        <v>320.11</v>
      </c>
      <c r="C63">
        <v>322.08</v>
      </c>
      <c r="D63">
        <v>324.89999999999998</v>
      </c>
      <c r="E63">
        <v>318.68</v>
      </c>
      <c r="F63" t="s">
        <v>681</v>
      </c>
      <c r="G63">
        <v>-1.17E-2</v>
      </c>
    </row>
    <row r="64" spans="1:7" x14ac:dyDescent="0.45">
      <c r="A64" s="4">
        <v>45891</v>
      </c>
      <c r="B64">
        <v>340.01</v>
      </c>
      <c r="C64">
        <v>321.66000000000003</v>
      </c>
      <c r="D64">
        <v>340.25</v>
      </c>
      <c r="E64">
        <v>319.69</v>
      </c>
      <c r="F64" t="s">
        <v>680</v>
      </c>
      <c r="G64">
        <v>6.2199999999999998E-2</v>
      </c>
    </row>
    <row r="65" spans="1:7" x14ac:dyDescent="0.45">
      <c r="A65" s="4">
        <v>45894</v>
      </c>
      <c r="B65">
        <v>346.6</v>
      </c>
      <c r="C65">
        <v>338.9</v>
      </c>
      <c r="D65">
        <v>349.53</v>
      </c>
      <c r="E65">
        <v>335.03</v>
      </c>
      <c r="F65" t="s">
        <v>679</v>
      </c>
      <c r="G65">
        <v>1.9400000000000001E-2</v>
      </c>
    </row>
    <row r="66" spans="1:7" x14ac:dyDescent="0.45">
      <c r="A66" s="4">
        <v>45895</v>
      </c>
      <c r="B66">
        <v>351.67</v>
      </c>
      <c r="C66">
        <v>344.93</v>
      </c>
      <c r="D66">
        <v>351.9</v>
      </c>
      <c r="E66">
        <v>343.72</v>
      </c>
      <c r="F66" t="s">
        <v>678</v>
      </c>
      <c r="G66">
        <v>1.46E-2</v>
      </c>
    </row>
    <row r="67" spans="1:7" x14ac:dyDescent="0.45">
      <c r="A67" s="4">
        <v>45896</v>
      </c>
      <c r="B67">
        <v>349.6</v>
      </c>
      <c r="C67">
        <v>351.94</v>
      </c>
      <c r="D67">
        <v>355.39</v>
      </c>
      <c r="E67">
        <v>349.16</v>
      </c>
      <c r="F67" t="s">
        <v>677</v>
      </c>
      <c r="G67">
        <v>-5.8999999999999999E-3</v>
      </c>
    </row>
    <row r="68" spans="1:7" x14ac:dyDescent="0.45">
      <c r="A68" s="4">
        <v>45897</v>
      </c>
      <c r="B68">
        <v>345.98</v>
      </c>
      <c r="C68">
        <v>350.91</v>
      </c>
      <c r="D68">
        <v>353.55</v>
      </c>
      <c r="E68">
        <v>340.26</v>
      </c>
      <c r="F68" t="s">
        <v>676</v>
      </c>
      <c r="G68">
        <v>-1.04E-2</v>
      </c>
    </row>
    <row r="69" spans="1:7" x14ac:dyDescent="0.45">
      <c r="A69" s="4">
        <v>45898</v>
      </c>
      <c r="B69">
        <v>333.87</v>
      </c>
      <c r="C69">
        <v>347.23</v>
      </c>
      <c r="D69">
        <v>348.75</v>
      </c>
      <c r="E69">
        <v>331.7</v>
      </c>
      <c r="F69" t="s">
        <v>675</v>
      </c>
      <c r="G69">
        <v>-3.5000000000000003E-2</v>
      </c>
    </row>
    <row r="70" spans="1:7" x14ac:dyDescent="0.45">
      <c r="A70" s="4">
        <v>45902</v>
      </c>
      <c r="B70">
        <v>329.36</v>
      </c>
      <c r="C70">
        <v>328.23</v>
      </c>
      <c r="D70">
        <v>333.33</v>
      </c>
      <c r="E70">
        <v>325.60000000000002</v>
      </c>
      <c r="F70" t="s">
        <v>674</v>
      </c>
      <c r="G70">
        <v>-1.35E-2</v>
      </c>
    </row>
    <row r="71" spans="1:7" x14ac:dyDescent="0.45">
      <c r="A71" s="4">
        <v>45903</v>
      </c>
      <c r="B71">
        <v>334.09</v>
      </c>
      <c r="C71">
        <v>335.2</v>
      </c>
      <c r="D71">
        <v>343.33</v>
      </c>
      <c r="E71">
        <v>328.51</v>
      </c>
      <c r="F71" t="s">
        <v>673</v>
      </c>
      <c r="G71">
        <v>1.44E-2</v>
      </c>
    </row>
    <row r="72" spans="1:7" x14ac:dyDescent="0.45">
      <c r="A72" s="4">
        <v>45904</v>
      </c>
      <c r="B72">
        <v>338.53</v>
      </c>
      <c r="C72">
        <v>336.15</v>
      </c>
      <c r="D72">
        <v>338.89</v>
      </c>
      <c r="E72">
        <v>331.48</v>
      </c>
      <c r="F72" t="s">
        <v>672</v>
      </c>
      <c r="G72">
        <v>1.3299999999999999E-2</v>
      </c>
    </row>
    <row r="73" spans="1:7" x14ac:dyDescent="0.45">
      <c r="A73" s="4">
        <v>45905</v>
      </c>
      <c r="B73">
        <v>350.84</v>
      </c>
      <c r="C73">
        <v>348</v>
      </c>
      <c r="D73">
        <v>355.87</v>
      </c>
      <c r="E73">
        <v>344.68</v>
      </c>
      <c r="F73" t="s">
        <v>671</v>
      </c>
      <c r="G73">
        <v>3.6400000000000002E-2</v>
      </c>
    </row>
    <row r="74" spans="1:7" x14ac:dyDescent="0.45">
      <c r="A74" s="4">
        <v>45908</v>
      </c>
      <c r="B74">
        <v>346.4</v>
      </c>
      <c r="C74">
        <v>354.64</v>
      </c>
      <c r="D74">
        <v>358.44</v>
      </c>
      <c r="E74">
        <v>344.84</v>
      </c>
      <c r="F74" t="s">
        <v>670</v>
      </c>
      <c r="G74">
        <v>-1.2699999999999999E-2</v>
      </c>
    </row>
    <row r="75" spans="1:7" x14ac:dyDescent="0.45">
      <c r="A75" s="4">
        <v>45909</v>
      </c>
      <c r="B75">
        <v>346.97</v>
      </c>
      <c r="C75">
        <v>348.44</v>
      </c>
      <c r="D75">
        <v>350.77</v>
      </c>
      <c r="E75">
        <v>343.82</v>
      </c>
      <c r="F75" t="s">
        <v>669</v>
      </c>
      <c r="G75">
        <v>1.6000000000000001E-3</v>
      </c>
    </row>
    <row r="76" spans="1:7" x14ac:dyDescent="0.45">
      <c r="A76" s="4">
        <v>45910</v>
      </c>
      <c r="B76">
        <v>347.79</v>
      </c>
      <c r="C76">
        <v>350.55</v>
      </c>
      <c r="D76">
        <v>356.33</v>
      </c>
      <c r="E76">
        <v>346.07</v>
      </c>
      <c r="F76" t="s">
        <v>668</v>
      </c>
      <c r="G76">
        <v>2.3999999999999998E-3</v>
      </c>
    </row>
    <row r="77" spans="1:7" x14ac:dyDescent="0.45">
      <c r="A77" s="4">
        <v>45911</v>
      </c>
      <c r="B77">
        <v>368.81</v>
      </c>
      <c r="C77">
        <v>350.17</v>
      </c>
      <c r="D77">
        <v>368.99</v>
      </c>
      <c r="E77">
        <v>347.6</v>
      </c>
      <c r="F77" t="s">
        <v>667</v>
      </c>
      <c r="G77">
        <v>6.0400000000000002E-2</v>
      </c>
    </row>
    <row r="78" spans="1:7" x14ac:dyDescent="0.45">
      <c r="A78" s="4">
        <v>45912</v>
      </c>
      <c r="B78">
        <v>395.94</v>
      </c>
      <c r="C78">
        <v>370.94</v>
      </c>
      <c r="D78">
        <v>396.69</v>
      </c>
      <c r="E78">
        <v>370.24</v>
      </c>
      <c r="F78" t="s">
        <v>666</v>
      </c>
      <c r="G78">
        <v>7.3599999999999999E-2</v>
      </c>
    </row>
    <row r="79" spans="1:7" x14ac:dyDescent="0.45">
      <c r="A79" s="4">
        <v>45915</v>
      </c>
      <c r="B79">
        <v>410.04</v>
      </c>
      <c r="C79">
        <v>423.13</v>
      </c>
      <c r="D79">
        <v>425.7</v>
      </c>
      <c r="E79">
        <v>402.43</v>
      </c>
      <c r="F79" t="s">
        <v>665</v>
      </c>
      <c r="G79">
        <v>3.56E-2</v>
      </c>
    </row>
    <row r="80" spans="1:7" x14ac:dyDescent="0.45">
      <c r="A80" s="4">
        <v>45916</v>
      </c>
      <c r="B80">
        <v>421.62</v>
      </c>
      <c r="C80">
        <v>414.49</v>
      </c>
      <c r="D80">
        <v>423.25</v>
      </c>
      <c r="E80">
        <v>411.43</v>
      </c>
      <c r="F80" t="s">
        <v>664</v>
      </c>
      <c r="G80">
        <v>2.8199999999999999E-2</v>
      </c>
    </row>
    <row r="81" spans="1:7" x14ac:dyDescent="0.45">
      <c r="A81" s="4">
        <v>45917</v>
      </c>
      <c r="B81">
        <v>425.86</v>
      </c>
      <c r="C81">
        <v>415.75</v>
      </c>
      <c r="D81">
        <v>428.31</v>
      </c>
      <c r="E81">
        <v>409.67</v>
      </c>
      <c r="F81" t="s">
        <v>663</v>
      </c>
      <c r="G81">
        <v>1.01E-2</v>
      </c>
    </row>
    <row r="82" spans="1:7" x14ac:dyDescent="0.45">
      <c r="A82" s="4">
        <v>45918</v>
      </c>
      <c r="B82">
        <v>416.85</v>
      </c>
      <c r="C82">
        <v>428.86</v>
      </c>
      <c r="D82">
        <v>432.22</v>
      </c>
      <c r="E82">
        <v>416.56</v>
      </c>
      <c r="F82" t="s">
        <v>662</v>
      </c>
      <c r="G82">
        <v>-2.12E-2</v>
      </c>
    </row>
    <row r="83" spans="1:7" x14ac:dyDescent="0.45">
      <c r="A83" s="4">
        <v>45919</v>
      </c>
      <c r="B83">
        <v>426.07</v>
      </c>
      <c r="C83">
        <v>421.82</v>
      </c>
      <c r="D83">
        <v>429.47</v>
      </c>
      <c r="E83">
        <v>421.72</v>
      </c>
      <c r="F83" t="s">
        <v>659</v>
      </c>
      <c r="G83">
        <v>2.2100000000000002E-2</v>
      </c>
    </row>
    <row r="84" spans="1:7" x14ac:dyDescent="0.45">
      <c r="A84" s="4">
        <v>45922</v>
      </c>
      <c r="B84">
        <v>434.21</v>
      </c>
      <c r="C84">
        <v>431.11</v>
      </c>
      <c r="D84">
        <v>444.98</v>
      </c>
      <c r="E84">
        <v>429.13</v>
      </c>
      <c r="F84" t="s">
        <v>661</v>
      </c>
      <c r="G84">
        <v>1.9099999999999999E-2</v>
      </c>
    </row>
    <row r="85" spans="1:7" x14ac:dyDescent="0.45">
      <c r="A85" s="4">
        <v>45923</v>
      </c>
      <c r="B85">
        <v>425.85</v>
      </c>
      <c r="C85">
        <v>439.88</v>
      </c>
      <c r="D85">
        <v>440.97</v>
      </c>
      <c r="E85">
        <v>423.72</v>
      </c>
      <c r="F85" t="s">
        <v>660</v>
      </c>
      <c r="G85">
        <v>-1.9300000000000001E-2</v>
      </c>
    </row>
    <row r="86" spans="1:7" x14ac:dyDescent="0.45">
      <c r="A86" s="4">
        <v>45924</v>
      </c>
      <c r="B86">
        <v>442.79</v>
      </c>
      <c r="C86">
        <v>429.83</v>
      </c>
      <c r="D86">
        <v>444.21</v>
      </c>
      <c r="E86">
        <v>429.03</v>
      </c>
      <c r="F86" t="s">
        <v>659</v>
      </c>
      <c r="G86">
        <v>3.9800000000000002E-2</v>
      </c>
    </row>
    <row r="87" spans="1:7" x14ac:dyDescent="0.45">
      <c r="A87" s="4">
        <v>45925</v>
      </c>
      <c r="B87">
        <v>423.39</v>
      </c>
      <c r="C87">
        <v>435.24</v>
      </c>
      <c r="D87">
        <v>435.35</v>
      </c>
      <c r="E87">
        <v>419.08</v>
      </c>
      <c r="F87" t="s">
        <v>658</v>
      </c>
      <c r="G87">
        <v>-4.3799999999999999E-2</v>
      </c>
    </row>
    <row r="88" spans="1:7" x14ac:dyDescent="0.45">
      <c r="A88" s="4">
        <v>45926</v>
      </c>
      <c r="B88">
        <v>440.4</v>
      </c>
      <c r="C88">
        <v>428.3</v>
      </c>
      <c r="D88">
        <v>440.47</v>
      </c>
      <c r="E88">
        <v>421.02</v>
      </c>
      <c r="F88" t="s">
        <v>657</v>
      </c>
      <c r="G88">
        <v>4.02E-2</v>
      </c>
    </row>
    <row r="89" spans="1:7" x14ac:dyDescent="0.45">
      <c r="A89" s="4">
        <v>45929</v>
      </c>
      <c r="B89">
        <v>443.21</v>
      </c>
      <c r="C89">
        <v>444.35</v>
      </c>
      <c r="D89">
        <v>450.98</v>
      </c>
      <c r="E89">
        <v>439.5</v>
      </c>
      <c r="F89" t="s">
        <v>656</v>
      </c>
      <c r="G89">
        <v>6.4000000000000003E-3</v>
      </c>
    </row>
    <row r="90" spans="1:7" x14ac:dyDescent="0.45">
      <c r="A90" s="4">
        <v>45930</v>
      </c>
      <c r="B90">
        <v>444.72</v>
      </c>
      <c r="C90">
        <v>441.52</v>
      </c>
      <c r="D90">
        <v>445</v>
      </c>
      <c r="E90">
        <v>433.12</v>
      </c>
      <c r="F90" t="s">
        <v>655</v>
      </c>
      <c r="G90">
        <v>3.3999999999999998E-3</v>
      </c>
    </row>
    <row r="91" spans="1:7" x14ac:dyDescent="0.45">
      <c r="A91" s="4">
        <v>45931</v>
      </c>
      <c r="B91">
        <v>459.46</v>
      </c>
      <c r="C91">
        <v>443.8</v>
      </c>
      <c r="D91">
        <v>462.29</v>
      </c>
      <c r="E91">
        <v>440.75</v>
      </c>
      <c r="F91" t="s">
        <v>654</v>
      </c>
      <c r="G91">
        <v>3.3099999999999997E-2</v>
      </c>
    </row>
    <row r="92" spans="1:7" x14ac:dyDescent="0.45">
      <c r="A92" s="4">
        <v>45932</v>
      </c>
      <c r="B92">
        <v>436</v>
      </c>
      <c r="C92">
        <v>470.54</v>
      </c>
      <c r="D92">
        <v>470.75</v>
      </c>
      <c r="E92">
        <v>435.57</v>
      </c>
      <c r="F92" t="s">
        <v>653</v>
      </c>
      <c r="G92">
        <v>-5.11E-2</v>
      </c>
    </row>
    <row r="93" spans="1:7" x14ac:dyDescent="0.45">
      <c r="A93" s="4">
        <v>45933</v>
      </c>
      <c r="B93">
        <v>429.83</v>
      </c>
      <c r="C93">
        <v>443.29</v>
      </c>
      <c r="D93">
        <v>446.77</v>
      </c>
      <c r="E93">
        <v>416.58</v>
      </c>
      <c r="F93" t="s">
        <v>652</v>
      </c>
      <c r="G93">
        <v>-1.4200000000000001E-2</v>
      </c>
    </row>
    <row r="94" spans="1:7" x14ac:dyDescent="0.45">
      <c r="A94" s="4">
        <v>45936</v>
      </c>
      <c r="B94">
        <v>453.25</v>
      </c>
      <c r="C94">
        <v>440.75</v>
      </c>
      <c r="D94">
        <v>453.55</v>
      </c>
      <c r="E94">
        <v>436.69</v>
      </c>
      <c r="F94" t="s">
        <v>651</v>
      </c>
      <c r="G94">
        <v>5.45E-2</v>
      </c>
    </row>
    <row r="95" spans="1:7" x14ac:dyDescent="0.45">
      <c r="A95" s="4">
        <v>45937</v>
      </c>
      <c r="B95">
        <v>433.09</v>
      </c>
      <c r="C95">
        <v>447.82</v>
      </c>
      <c r="D95">
        <v>452.68</v>
      </c>
      <c r="E95">
        <v>432.45</v>
      </c>
      <c r="F95" t="s">
        <v>650</v>
      </c>
      <c r="G95">
        <v>-4.4499999999999998E-2</v>
      </c>
    </row>
    <row r="96" spans="1:7" x14ac:dyDescent="0.45">
      <c r="A96" s="4">
        <v>45938</v>
      </c>
      <c r="B96">
        <v>438.69</v>
      </c>
      <c r="C96">
        <v>437.57</v>
      </c>
      <c r="D96">
        <v>441.33</v>
      </c>
      <c r="E96">
        <v>425.23</v>
      </c>
      <c r="F96" t="s">
        <v>649</v>
      </c>
      <c r="G96">
        <v>1.29E-2</v>
      </c>
    </row>
    <row r="97" spans="1:7" x14ac:dyDescent="0.45">
      <c r="A97" s="4">
        <v>45939</v>
      </c>
      <c r="B97">
        <v>435.54</v>
      </c>
      <c r="C97">
        <v>431.81</v>
      </c>
      <c r="D97">
        <v>436.35</v>
      </c>
      <c r="E97">
        <v>426.18</v>
      </c>
      <c r="F97" t="s">
        <v>612</v>
      </c>
      <c r="G97">
        <v>-7.1999999999999998E-3</v>
      </c>
    </row>
    <row r="98" spans="1:7" x14ac:dyDescent="0.45">
      <c r="A98" s="4">
        <v>45940</v>
      </c>
      <c r="B98">
        <v>413.49</v>
      </c>
      <c r="C98">
        <v>436.54</v>
      </c>
      <c r="D98">
        <v>443.13</v>
      </c>
      <c r="E98">
        <v>411.45</v>
      </c>
      <c r="F98" t="s">
        <v>648</v>
      </c>
      <c r="G98">
        <v>-5.0599999999999999E-2</v>
      </c>
    </row>
    <row r="99" spans="1:7" x14ac:dyDescent="0.45">
      <c r="A99" s="4">
        <v>45943</v>
      </c>
      <c r="B99">
        <v>435.9</v>
      </c>
      <c r="C99">
        <v>423.53</v>
      </c>
      <c r="D99">
        <v>436.89</v>
      </c>
      <c r="E99">
        <v>419.7</v>
      </c>
      <c r="F99" t="s">
        <v>647</v>
      </c>
      <c r="G99">
        <v>5.4199999999999998E-2</v>
      </c>
    </row>
    <row r="100" spans="1:7" x14ac:dyDescent="0.45">
      <c r="A100" s="4">
        <v>45944</v>
      </c>
      <c r="B100">
        <v>429.24</v>
      </c>
      <c r="C100">
        <v>426.79</v>
      </c>
      <c r="D100">
        <v>434.2</v>
      </c>
      <c r="E100">
        <v>417.86</v>
      </c>
      <c r="F100" t="s">
        <v>646</v>
      </c>
      <c r="G100">
        <v>-1.5299999999999999E-2</v>
      </c>
    </row>
    <row r="101" spans="1:7" x14ac:dyDescent="0.45">
      <c r="A101" s="4">
        <v>45945</v>
      </c>
      <c r="B101">
        <v>435.15</v>
      </c>
      <c r="C101">
        <v>434.9</v>
      </c>
      <c r="D101">
        <v>440.51</v>
      </c>
      <c r="E101">
        <v>426.33</v>
      </c>
      <c r="F101" t="s">
        <v>645</v>
      </c>
      <c r="G101">
        <v>1.38E-2</v>
      </c>
    </row>
    <row r="102" spans="1:7" x14ac:dyDescent="0.45">
      <c r="A102" s="4">
        <v>45946</v>
      </c>
      <c r="B102">
        <v>428.75</v>
      </c>
      <c r="C102">
        <v>434.73</v>
      </c>
      <c r="D102">
        <v>439.35</v>
      </c>
      <c r="E102">
        <v>421.31</v>
      </c>
      <c r="F102" t="s">
        <v>644</v>
      </c>
      <c r="G102">
        <v>-1.47E-2</v>
      </c>
    </row>
    <row r="103" spans="1:7" x14ac:dyDescent="0.45">
      <c r="A103" s="4">
        <v>45947</v>
      </c>
      <c r="B103">
        <v>439.31</v>
      </c>
      <c r="C103">
        <v>425.5</v>
      </c>
      <c r="D103">
        <v>441.46</v>
      </c>
      <c r="E103">
        <v>423.6</v>
      </c>
      <c r="F103" t="s">
        <v>643</v>
      </c>
      <c r="G103">
        <v>2.46E-2</v>
      </c>
    </row>
    <row r="104" spans="1:7" x14ac:dyDescent="0.45">
      <c r="A104" s="4">
        <v>45950</v>
      </c>
      <c r="B104">
        <v>447.43</v>
      </c>
      <c r="C104">
        <v>443.86</v>
      </c>
      <c r="D104">
        <v>449.8</v>
      </c>
      <c r="E104">
        <v>440.61</v>
      </c>
      <c r="F104" t="s">
        <v>642</v>
      </c>
      <c r="G104">
        <v>1.8499999999999999E-2</v>
      </c>
    </row>
    <row r="105" spans="1:7" x14ac:dyDescent="0.45">
      <c r="A105" s="4">
        <v>45951</v>
      </c>
      <c r="B105">
        <v>442.6</v>
      </c>
      <c r="C105">
        <v>445.76</v>
      </c>
      <c r="D105">
        <v>449.3</v>
      </c>
      <c r="E105">
        <v>442.05</v>
      </c>
      <c r="F105" t="s">
        <v>641</v>
      </c>
      <c r="G105">
        <v>-1.0800000000000001E-2</v>
      </c>
    </row>
    <row r="106" spans="1:7" x14ac:dyDescent="0.45">
      <c r="A106" s="4">
        <v>45952</v>
      </c>
      <c r="B106">
        <v>438.97</v>
      </c>
      <c r="C106">
        <v>443.45</v>
      </c>
      <c r="D106">
        <v>445.54</v>
      </c>
      <c r="E106">
        <v>429</v>
      </c>
      <c r="F106" t="s">
        <v>640</v>
      </c>
      <c r="G106">
        <v>-8.2000000000000007E-3</v>
      </c>
    </row>
    <row r="107" spans="1:7" x14ac:dyDescent="0.45">
      <c r="A107" s="4">
        <v>45953</v>
      </c>
      <c r="B107">
        <v>448.98</v>
      </c>
      <c r="C107">
        <v>420</v>
      </c>
      <c r="D107">
        <v>449.4</v>
      </c>
      <c r="E107">
        <v>413.9</v>
      </c>
      <c r="F107" t="s">
        <v>639</v>
      </c>
      <c r="G107">
        <v>2.2800000000000001E-2</v>
      </c>
    </row>
    <row r="108" spans="1:7" x14ac:dyDescent="0.45">
      <c r="A108" s="4">
        <v>45954</v>
      </c>
      <c r="B108">
        <v>433.72</v>
      </c>
      <c r="C108">
        <v>446.83</v>
      </c>
      <c r="D108">
        <v>451.68</v>
      </c>
      <c r="E108">
        <v>430.17</v>
      </c>
      <c r="F108" t="s">
        <v>638</v>
      </c>
      <c r="G108">
        <v>-3.4000000000000002E-2</v>
      </c>
    </row>
    <row r="109" spans="1:7" x14ac:dyDescent="0.45">
      <c r="A109" s="4">
        <v>45957</v>
      </c>
      <c r="B109">
        <v>452.42</v>
      </c>
      <c r="C109">
        <v>439.98</v>
      </c>
      <c r="D109">
        <v>460.16</v>
      </c>
      <c r="E109">
        <v>438.69</v>
      </c>
      <c r="F109" t="s">
        <v>637</v>
      </c>
      <c r="G109">
        <v>4.3099999999999999E-2</v>
      </c>
    </row>
    <row r="110" spans="1:7" x14ac:dyDescent="0.45">
      <c r="A110" s="4">
        <v>45958</v>
      </c>
      <c r="B110">
        <v>460.55</v>
      </c>
      <c r="C110">
        <v>454.77</v>
      </c>
      <c r="D110">
        <v>467</v>
      </c>
      <c r="E110">
        <v>451.6</v>
      </c>
      <c r="F110" t="s">
        <v>636</v>
      </c>
      <c r="G110">
        <v>1.7999999999999999E-2</v>
      </c>
    </row>
    <row r="111" spans="1:7" x14ac:dyDescent="0.45">
      <c r="A111" s="4">
        <v>45959</v>
      </c>
      <c r="B111">
        <v>461.51</v>
      </c>
      <c r="C111">
        <v>462.5</v>
      </c>
      <c r="D111">
        <v>465.7</v>
      </c>
      <c r="E111">
        <v>452.65</v>
      </c>
      <c r="F111" t="s">
        <v>635</v>
      </c>
      <c r="G111">
        <v>2.0999999999999999E-3</v>
      </c>
    </row>
    <row r="112" spans="1:7" x14ac:dyDescent="0.45">
      <c r="A112" s="4">
        <v>45960</v>
      </c>
      <c r="B112">
        <v>440.1</v>
      </c>
      <c r="C112">
        <v>451.05</v>
      </c>
      <c r="D112">
        <v>455.06</v>
      </c>
      <c r="E112">
        <v>439.61</v>
      </c>
      <c r="F112" t="s">
        <v>634</v>
      </c>
      <c r="G112">
        <v>-4.6399999999999997E-2</v>
      </c>
    </row>
    <row r="113" spans="1:7" x14ac:dyDescent="0.45">
      <c r="A113" s="4">
        <v>45961</v>
      </c>
      <c r="B113">
        <v>456.56</v>
      </c>
      <c r="C113">
        <v>446.75</v>
      </c>
      <c r="D113">
        <v>458</v>
      </c>
      <c r="E113">
        <v>443.69</v>
      </c>
      <c r="F113" t="s">
        <v>633</v>
      </c>
      <c r="G113">
        <v>3.7400000000000003E-2</v>
      </c>
    </row>
    <row r="114" spans="1:7" x14ac:dyDescent="0.45">
      <c r="A114" s="4">
        <v>45964</v>
      </c>
      <c r="B114">
        <v>468.37</v>
      </c>
      <c r="C114">
        <v>455.99</v>
      </c>
      <c r="D114">
        <v>474.07</v>
      </c>
      <c r="E114">
        <v>453.8</v>
      </c>
      <c r="F114" t="s">
        <v>632</v>
      </c>
      <c r="G114">
        <v>2.5899999999999999E-2</v>
      </c>
    </row>
    <row r="115" spans="1:7" x14ac:dyDescent="0.45">
      <c r="A115" s="4">
        <v>45965</v>
      </c>
      <c r="B115">
        <v>444.26</v>
      </c>
      <c r="C115">
        <v>454.46</v>
      </c>
      <c r="D115">
        <v>460.22</v>
      </c>
      <c r="E115">
        <v>443.6</v>
      </c>
      <c r="F115" t="s">
        <v>631</v>
      </c>
      <c r="G115">
        <v>-5.1499999999999997E-2</v>
      </c>
    </row>
    <row r="116" spans="1:7" x14ac:dyDescent="0.45">
      <c r="A116" s="4">
        <v>45966</v>
      </c>
      <c r="B116">
        <v>462.07</v>
      </c>
      <c r="C116">
        <v>452.05</v>
      </c>
      <c r="D116">
        <v>466.33</v>
      </c>
      <c r="E116">
        <v>440.71</v>
      </c>
      <c r="F116" t="s">
        <v>630</v>
      </c>
      <c r="G116">
        <v>4.0099999999999997E-2</v>
      </c>
    </row>
    <row r="117" spans="1:7" x14ac:dyDescent="0.45">
      <c r="A117" s="4">
        <v>45967</v>
      </c>
      <c r="B117">
        <v>445.91</v>
      </c>
      <c r="C117">
        <v>461.96</v>
      </c>
      <c r="D117">
        <v>467.45</v>
      </c>
      <c r="E117">
        <v>435.09</v>
      </c>
      <c r="F117" t="s">
        <v>629</v>
      </c>
      <c r="G117">
        <v>-3.5000000000000003E-2</v>
      </c>
    </row>
    <row r="118" spans="1:7" x14ac:dyDescent="0.45">
      <c r="A118" s="4">
        <v>45968</v>
      </c>
      <c r="B118">
        <v>429.52</v>
      </c>
      <c r="C118">
        <v>437.92</v>
      </c>
      <c r="D118">
        <v>439.36</v>
      </c>
      <c r="E118">
        <v>421.88</v>
      </c>
      <c r="F118" t="s">
        <v>628</v>
      </c>
      <c r="G118">
        <v>-3.6799999999999999E-2</v>
      </c>
    </row>
    <row r="119" spans="1:7" x14ac:dyDescent="0.45">
      <c r="A119" s="4">
        <v>45971</v>
      </c>
      <c r="B119">
        <v>445.23</v>
      </c>
      <c r="C119">
        <v>439.6</v>
      </c>
      <c r="D119">
        <v>449.67</v>
      </c>
      <c r="E119">
        <v>433.36</v>
      </c>
      <c r="F119" t="s">
        <v>627</v>
      </c>
      <c r="G119">
        <v>3.6600000000000001E-2</v>
      </c>
    </row>
    <row r="120" spans="1:7" x14ac:dyDescent="0.45">
      <c r="A120" s="4">
        <v>45972</v>
      </c>
      <c r="B120">
        <v>439.62</v>
      </c>
      <c r="C120">
        <v>439.4</v>
      </c>
      <c r="D120">
        <v>442.49</v>
      </c>
      <c r="E120">
        <v>432.36</v>
      </c>
      <c r="F120" t="s">
        <v>626</v>
      </c>
      <c r="G120">
        <v>-1.26E-2</v>
      </c>
    </row>
    <row r="121" spans="1:7" x14ac:dyDescent="0.45">
      <c r="A121" s="4">
        <v>45973</v>
      </c>
      <c r="B121">
        <v>430.6</v>
      </c>
      <c r="C121">
        <v>442.15</v>
      </c>
      <c r="D121">
        <v>442.33</v>
      </c>
      <c r="E121">
        <v>426.56</v>
      </c>
      <c r="F121" t="s">
        <v>625</v>
      </c>
      <c r="G121">
        <v>-2.0500000000000001E-2</v>
      </c>
    </row>
    <row r="122" spans="1:7" x14ac:dyDescent="0.45">
      <c r="A122" s="4">
        <v>45974</v>
      </c>
      <c r="B122">
        <v>401.99</v>
      </c>
      <c r="C122">
        <v>423.13</v>
      </c>
      <c r="D122">
        <v>424.5</v>
      </c>
      <c r="E122">
        <v>396.34</v>
      </c>
      <c r="F122" t="s">
        <v>624</v>
      </c>
      <c r="G122">
        <v>-6.6400000000000001E-2</v>
      </c>
    </row>
    <row r="123" spans="1:7" x14ac:dyDescent="0.45">
      <c r="A123" s="4">
        <v>45975</v>
      </c>
      <c r="B123">
        <v>404.35</v>
      </c>
      <c r="C123">
        <v>386.3</v>
      </c>
      <c r="D123">
        <v>412.19</v>
      </c>
      <c r="E123">
        <v>382.78</v>
      </c>
      <c r="F123" t="s">
        <v>623</v>
      </c>
      <c r="G123">
        <v>5.8999999999999999E-3</v>
      </c>
    </row>
    <row r="124" spans="1:7" x14ac:dyDescent="0.45">
      <c r="A124" s="4">
        <v>45978</v>
      </c>
      <c r="B124">
        <v>408.92</v>
      </c>
      <c r="C124">
        <v>398.74</v>
      </c>
      <c r="D124">
        <v>423.96</v>
      </c>
      <c r="E124">
        <v>398.74</v>
      </c>
      <c r="F124" t="s">
        <v>622</v>
      </c>
      <c r="G124">
        <v>1.1299999999999999E-2</v>
      </c>
    </row>
    <row r="125" spans="1:7" x14ac:dyDescent="0.45">
      <c r="A125" s="4">
        <v>45979</v>
      </c>
      <c r="B125">
        <v>401.25</v>
      </c>
      <c r="C125">
        <v>405.38</v>
      </c>
      <c r="D125">
        <v>408.9</v>
      </c>
      <c r="E125">
        <v>393.71</v>
      </c>
      <c r="F125" t="s">
        <v>621</v>
      </c>
      <c r="G125">
        <v>-1.8800000000000001E-2</v>
      </c>
    </row>
    <row r="126" spans="1:7" x14ac:dyDescent="0.45">
      <c r="A126" s="4">
        <v>45980</v>
      </c>
      <c r="B126">
        <v>403.99</v>
      </c>
      <c r="C126">
        <v>406.18</v>
      </c>
      <c r="D126">
        <v>411.78</v>
      </c>
      <c r="E126">
        <v>398.5</v>
      </c>
      <c r="F126" t="s">
        <v>620</v>
      </c>
      <c r="G126">
        <v>6.7999999999999996E-3</v>
      </c>
    </row>
    <row r="127" spans="1:7" x14ac:dyDescent="0.45">
      <c r="A127" s="4">
        <v>45981</v>
      </c>
      <c r="B127">
        <v>395.23</v>
      </c>
      <c r="C127">
        <v>414.63</v>
      </c>
      <c r="D127">
        <v>428.94</v>
      </c>
      <c r="E127">
        <v>394.74</v>
      </c>
      <c r="F127" t="s">
        <v>619</v>
      </c>
      <c r="G127">
        <v>-2.1700000000000001E-2</v>
      </c>
    </row>
    <row r="128" spans="1:7" x14ac:dyDescent="0.45">
      <c r="A128" s="4">
        <v>45982</v>
      </c>
      <c r="B128">
        <v>391.09</v>
      </c>
      <c r="C128">
        <v>402.32</v>
      </c>
      <c r="D128">
        <v>402.8</v>
      </c>
      <c r="E128">
        <v>383.76</v>
      </c>
      <c r="F128" t="s">
        <v>618</v>
      </c>
      <c r="G128">
        <v>-1.0500000000000001E-2</v>
      </c>
    </row>
    <row r="129" spans="1:7" x14ac:dyDescent="0.45">
      <c r="A129" s="4">
        <v>45985</v>
      </c>
      <c r="B129">
        <v>417.78</v>
      </c>
      <c r="C129">
        <v>402.17</v>
      </c>
      <c r="D129">
        <v>421.72</v>
      </c>
      <c r="E129">
        <v>401.09</v>
      </c>
      <c r="F129" t="s">
        <v>617</v>
      </c>
      <c r="G129">
        <v>6.8199999999999997E-2</v>
      </c>
    </row>
    <row r="130" spans="1:7" x14ac:dyDescent="0.45">
      <c r="A130" s="4">
        <v>45986</v>
      </c>
      <c r="B130">
        <v>419.4</v>
      </c>
      <c r="C130">
        <v>414.42</v>
      </c>
      <c r="D130">
        <v>420.48</v>
      </c>
      <c r="E130">
        <v>405.95</v>
      </c>
      <c r="F130" t="s">
        <v>616</v>
      </c>
      <c r="G130">
        <v>3.8999999999999998E-3</v>
      </c>
    </row>
    <row r="131" spans="1:7" x14ac:dyDescent="0.45">
      <c r="A131" s="4">
        <v>45987</v>
      </c>
      <c r="B131">
        <v>426.58</v>
      </c>
      <c r="C131">
        <v>423.95</v>
      </c>
      <c r="D131">
        <v>426.94</v>
      </c>
      <c r="E131">
        <v>416.89</v>
      </c>
      <c r="F131" t="s">
        <v>615</v>
      </c>
      <c r="G131">
        <v>1.7100000000000001E-2</v>
      </c>
    </row>
    <row r="132" spans="1:7" x14ac:dyDescent="0.45">
      <c r="A132" s="4">
        <v>45989</v>
      </c>
      <c r="B132">
        <v>430.17</v>
      </c>
      <c r="C132">
        <v>426.59</v>
      </c>
      <c r="D132">
        <v>432.93</v>
      </c>
      <c r="E132">
        <v>426.2</v>
      </c>
      <c r="F132" t="s">
        <v>614</v>
      </c>
      <c r="G132">
        <v>8.3999999999999995E-3</v>
      </c>
    </row>
    <row r="133" spans="1:7" x14ac:dyDescent="0.45">
      <c r="A133" s="4">
        <v>45992</v>
      </c>
      <c r="B133">
        <v>430.14</v>
      </c>
      <c r="C133">
        <v>425.32</v>
      </c>
      <c r="D133">
        <v>433.66</v>
      </c>
      <c r="E133">
        <v>425.29</v>
      </c>
      <c r="F133" t="s">
        <v>613</v>
      </c>
      <c r="G133">
        <v>-1E-4</v>
      </c>
    </row>
    <row r="134" spans="1:7" x14ac:dyDescent="0.45">
      <c r="A134" s="4">
        <v>45993</v>
      </c>
      <c r="B134">
        <v>429.24</v>
      </c>
      <c r="C134">
        <v>430.81</v>
      </c>
      <c r="D134">
        <v>436.8</v>
      </c>
      <c r="E134">
        <v>422.12</v>
      </c>
      <c r="F134" t="s">
        <v>612</v>
      </c>
      <c r="G134">
        <v>-2.0999999999999999E-3</v>
      </c>
    </row>
    <row r="135" spans="1:7" x14ac:dyDescent="0.45">
      <c r="A135" s="4">
        <v>45994</v>
      </c>
      <c r="B135">
        <v>446.74</v>
      </c>
      <c r="C135">
        <v>432.1</v>
      </c>
      <c r="D135">
        <v>447.92</v>
      </c>
      <c r="E135">
        <v>431.11</v>
      </c>
      <c r="F135" t="s">
        <v>611</v>
      </c>
      <c r="G135">
        <v>4.0800000000000003E-2</v>
      </c>
    </row>
    <row r="136" spans="1:7" x14ac:dyDescent="0.45">
      <c r="A136" s="4">
        <v>45995</v>
      </c>
      <c r="B136">
        <v>454.53</v>
      </c>
      <c r="C136">
        <v>449.94</v>
      </c>
      <c r="D136">
        <v>454.63</v>
      </c>
      <c r="E136">
        <v>445.39</v>
      </c>
      <c r="F136" t="s">
        <v>610</v>
      </c>
      <c r="G136">
        <v>1.7399999999999999E-2</v>
      </c>
    </row>
    <row r="137" spans="1:7" x14ac:dyDescent="0.45">
      <c r="A137" s="4">
        <v>45996</v>
      </c>
      <c r="B137">
        <v>455</v>
      </c>
      <c r="C137">
        <v>453.03</v>
      </c>
      <c r="D137">
        <v>458.87</v>
      </c>
      <c r="E137">
        <v>451.66</v>
      </c>
      <c r="F137" t="s">
        <v>609</v>
      </c>
      <c r="G137">
        <v>1E-3</v>
      </c>
    </row>
    <row r="138" spans="1:7" x14ac:dyDescent="0.45">
      <c r="A138" s="4">
        <v>45999</v>
      </c>
      <c r="B138">
        <v>439.58</v>
      </c>
      <c r="C138">
        <v>447.45</v>
      </c>
      <c r="D138">
        <v>449.75</v>
      </c>
      <c r="E138">
        <v>435.25</v>
      </c>
      <c r="F138" t="s">
        <v>608</v>
      </c>
      <c r="G138">
        <v>-3.39E-2</v>
      </c>
    </row>
    <row r="139" spans="1:7" x14ac:dyDescent="0.45">
      <c r="A139" s="4">
        <v>46000</v>
      </c>
      <c r="B139">
        <v>445.17</v>
      </c>
      <c r="C139">
        <v>437.54</v>
      </c>
      <c r="D139">
        <v>452.39</v>
      </c>
      <c r="E139">
        <v>435.7</v>
      </c>
      <c r="F139" t="s">
        <v>607</v>
      </c>
      <c r="G139">
        <v>1.2699999999999999E-2</v>
      </c>
    </row>
    <row r="140" spans="1:7" x14ac:dyDescent="0.45">
      <c r="A140" s="4">
        <v>46001</v>
      </c>
      <c r="B140">
        <v>451.45</v>
      </c>
      <c r="C140">
        <v>446.07</v>
      </c>
      <c r="D140">
        <v>456.88</v>
      </c>
      <c r="E140">
        <v>443.61</v>
      </c>
      <c r="F140" t="s">
        <v>606</v>
      </c>
      <c r="G140">
        <v>1.41E-2</v>
      </c>
    </row>
    <row r="141" spans="1:7" x14ac:dyDescent="0.45">
      <c r="A141" s="4">
        <v>46002</v>
      </c>
      <c r="B141">
        <v>446.89</v>
      </c>
      <c r="C141">
        <v>448.95</v>
      </c>
      <c r="D141">
        <v>449.27</v>
      </c>
      <c r="E141">
        <v>440.33</v>
      </c>
      <c r="F141" t="s">
        <v>605</v>
      </c>
      <c r="G141">
        <v>-1.01E-2</v>
      </c>
    </row>
    <row r="142" spans="1:7" x14ac:dyDescent="0.45">
      <c r="A142" s="4">
        <v>46003</v>
      </c>
      <c r="B142">
        <v>458.96</v>
      </c>
      <c r="C142">
        <v>448.09</v>
      </c>
      <c r="D142">
        <v>463.01</v>
      </c>
      <c r="E142">
        <v>441.67</v>
      </c>
      <c r="F142" t="s">
        <v>604</v>
      </c>
      <c r="G142">
        <v>2.7E-2</v>
      </c>
    </row>
    <row r="143" spans="1:7" x14ac:dyDescent="0.45">
      <c r="A143" s="4">
        <v>46006</v>
      </c>
      <c r="B143">
        <v>475.31</v>
      </c>
      <c r="C143">
        <v>469.44</v>
      </c>
      <c r="D143">
        <v>481.77</v>
      </c>
      <c r="E143">
        <v>467.66</v>
      </c>
      <c r="F143" t="s">
        <v>603</v>
      </c>
      <c r="G143">
        <v>3.56E-2</v>
      </c>
    </row>
    <row r="144" spans="1:7" x14ac:dyDescent="0.45">
      <c r="A144" s="4">
        <v>46007</v>
      </c>
      <c r="B144">
        <v>489.88</v>
      </c>
      <c r="C144">
        <v>472.21</v>
      </c>
      <c r="D144">
        <v>491.5</v>
      </c>
      <c r="E144">
        <v>465.83</v>
      </c>
      <c r="F144" t="s">
        <v>602</v>
      </c>
      <c r="G144">
        <v>3.0700000000000002E-2</v>
      </c>
    </row>
    <row r="145" spans="1:7" x14ac:dyDescent="0.45">
      <c r="A145" s="4">
        <v>46008</v>
      </c>
      <c r="B145">
        <v>467.26</v>
      </c>
      <c r="C145">
        <v>488.22</v>
      </c>
      <c r="D145">
        <v>495.28</v>
      </c>
      <c r="E145">
        <v>466.2</v>
      </c>
      <c r="F145" t="s">
        <v>601</v>
      </c>
      <c r="G145">
        <v>-4.6199999999999998E-2</v>
      </c>
    </row>
    <row r="146" spans="1:7" x14ac:dyDescent="0.45">
      <c r="A146" s="4">
        <v>46009</v>
      </c>
      <c r="B146">
        <v>483.37</v>
      </c>
      <c r="C146">
        <v>478.16</v>
      </c>
      <c r="D146">
        <v>490.86</v>
      </c>
      <c r="E146">
        <v>473.12</v>
      </c>
      <c r="F146" t="s">
        <v>600</v>
      </c>
      <c r="G146">
        <v>3.4500000000000003E-2</v>
      </c>
    </row>
    <row r="147" spans="1:7" x14ac:dyDescent="0.45">
      <c r="A147" s="4">
        <v>46010</v>
      </c>
      <c r="B147">
        <v>481.2</v>
      </c>
      <c r="C147">
        <v>488.12</v>
      </c>
      <c r="D147">
        <v>490.49</v>
      </c>
      <c r="E147">
        <v>474.72</v>
      </c>
      <c r="F147" t="s">
        <v>599</v>
      </c>
      <c r="G147">
        <v>-4.4999999999999997E-3</v>
      </c>
    </row>
    <row r="148" spans="1:7" x14ac:dyDescent="0.45">
      <c r="A148" s="4">
        <v>46013</v>
      </c>
      <c r="B148">
        <v>488.73</v>
      </c>
      <c r="C148">
        <v>489.88</v>
      </c>
      <c r="D148">
        <v>498.83</v>
      </c>
      <c r="E148">
        <v>485.33</v>
      </c>
      <c r="F148" t="s">
        <v>598</v>
      </c>
      <c r="G148">
        <v>1.5599999999999999E-2</v>
      </c>
    </row>
    <row r="149" spans="1:7" x14ac:dyDescent="0.45">
      <c r="A149" s="4">
        <v>46014</v>
      </c>
      <c r="B149">
        <v>485.56</v>
      </c>
      <c r="C149">
        <v>489.39</v>
      </c>
      <c r="D149">
        <v>491.97</v>
      </c>
      <c r="E149">
        <v>482.84</v>
      </c>
      <c r="F149" t="s">
        <v>597</v>
      </c>
      <c r="G149">
        <v>-6.4999999999999997E-3</v>
      </c>
    </row>
    <row r="150" spans="1:7" x14ac:dyDescent="0.45">
      <c r="A150" s="4">
        <v>46015</v>
      </c>
      <c r="B150">
        <v>485.4</v>
      </c>
      <c r="C150">
        <v>488.48</v>
      </c>
      <c r="D150">
        <v>490.9</v>
      </c>
      <c r="E150">
        <v>476.8</v>
      </c>
      <c r="F150" t="s">
        <v>596</v>
      </c>
      <c r="G150">
        <v>-2.9999999999999997E-4</v>
      </c>
    </row>
    <row r="151" spans="1:7" x14ac:dyDescent="0.45">
      <c r="A151" s="4">
        <v>46017</v>
      </c>
      <c r="B151">
        <v>475.19</v>
      </c>
      <c r="C151">
        <v>485.23</v>
      </c>
      <c r="D151">
        <v>489.09</v>
      </c>
      <c r="E151">
        <v>473.82</v>
      </c>
      <c r="F151" t="s">
        <v>595</v>
      </c>
      <c r="G151">
        <v>-2.1000000000000001E-2</v>
      </c>
    </row>
    <row r="152" spans="1:7" x14ac:dyDescent="0.45">
      <c r="A152" s="4">
        <v>46020</v>
      </c>
      <c r="B152">
        <v>459.64</v>
      </c>
      <c r="C152">
        <v>469</v>
      </c>
      <c r="D152">
        <v>469.4</v>
      </c>
      <c r="E152">
        <v>459</v>
      </c>
      <c r="F152" t="s">
        <v>594</v>
      </c>
      <c r="G152">
        <v>-3.27E-2</v>
      </c>
    </row>
    <row r="153" spans="1:7" x14ac:dyDescent="0.45">
      <c r="A153" s="4">
        <v>46021</v>
      </c>
      <c r="B153">
        <v>454.43</v>
      </c>
      <c r="C153">
        <v>461.09</v>
      </c>
      <c r="D153">
        <v>463.12</v>
      </c>
      <c r="E153">
        <v>453.83</v>
      </c>
      <c r="F153" t="s">
        <v>593</v>
      </c>
      <c r="G153">
        <v>-1.1299999999999999E-2</v>
      </c>
    </row>
    <row r="154" spans="1:7" x14ac:dyDescent="0.45">
      <c r="A154" s="4">
        <v>46022</v>
      </c>
      <c r="B154">
        <v>449.72</v>
      </c>
      <c r="C154">
        <v>456.1</v>
      </c>
      <c r="D154">
        <v>456.55</v>
      </c>
      <c r="E154">
        <v>449.3</v>
      </c>
      <c r="F154" t="s">
        <v>592</v>
      </c>
      <c r="G154">
        <v>-1.04E-2</v>
      </c>
    </row>
    <row r="155" spans="1:7" x14ac:dyDescent="0.45">
      <c r="A155" s="4">
        <v>46024</v>
      </c>
      <c r="B155">
        <v>438.07</v>
      </c>
      <c r="C155">
        <v>457.8</v>
      </c>
      <c r="D155">
        <v>458.34</v>
      </c>
      <c r="E155">
        <v>435.3</v>
      </c>
      <c r="F155" t="s">
        <v>591</v>
      </c>
      <c r="G155">
        <v>-2.5899999999999999E-2</v>
      </c>
    </row>
    <row r="156" spans="1:7" x14ac:dyDescent="0.45">
      <c r="A156" s="4">
        <v>46027</v>
      </c>
      <c r="B156">
        <v>451.67</v>
      </c>
      <c r="C156">
        <v>447.99</v>
      </c>
      <c r="D156">
        <v>457.55</v>
      </c>
      <c r="E156">
        <v>444.57</v>
      </c>
      <c r="F156" t="s">
        <v>590</v>
      </c>
      <c r="G156">
        <v>3.1E-2</v>
      </c>
    </row>
    <row r="157" spans="1:7" x14ac:dyDescent="0.45">
      <c r="A157" s="4">
        <v>46028</v>
      </c>
      <c r="B157">
        <v>432.96</v>
      </c>
      <c r="C157">
        <v>446.38</v>
      </c>
      <c r="D157">
        <v>448.25</v>
      </c>
      <c r="E157">
        <v>428.78</v>
      </c>
      <c r="F157" t="s">
        <v>589</v>
      </c>
      <c r="G157">
        <v>-4.1399999999999999E-2</v>
      </c>
    </row>
    <row r="158" spans="1:7" x14ac:dyDescent="0.45">
      <c r="A158" s="4">
        <v>46029</v>
      </c>
      <c r="B158">
        <v>431.41</v>
      </c>
      <c r="C158">
        <v>435.9</v>
      </c>
      <c r="D158">
        <v>438.37</v>
      </c>
      <c r="E158">
        <v>431.29</v>
      </c>
      <c r="F158" t="s">
        <v>588</v>
      </c>
      <c r="G158">
        <v>-3.5999999999999999E-3</v>
      </c>
    </row>
    <row r="159" spans="1:7" x14ac:dyDescent="0.45">
      <c r="A159" s="4">
        <v>46030</v>
      </c>
      <c r="B159">
        <v>435.8</v>
      </c>
      <c r="C159">
        <v>427.89</v>
      </c>
      <c r="D159">
        <v>436.89</v>
      </c>
      <c r="E159">
        <v>424.36</v>
      </c>
      <c r="F159" t="s">
        <v>587</v>
      </c>
      <c r="G159">
        <v>1.0200000000000001E-2</v>
      </c>
    </row>
    <row r="160" spans="1:7" x14ac:dyDescent="0.45">
      <c r="A160" s="4">
        <v>46031</v>
      </c>
      <c r="B160">
        <v>445.01</v>
      </c>
      <c r="C160">
        <v>435.95</v>
      </c>
      <c r="D160">
        <v>449.05</v>
      </c>
      <c r="E160">
        <v>430.39</v>
      </c>
      <c r="F160" t="s">
        <v>586</v>
      </c>
      <c r="G160">
        <v>2.1100000000000001E-2</v>
      </c>
    </row>
    <row r="161" spans="1:7" x14ac:dyDescent="0.45">
      <c r="A161" s="4">
        <v>46034</v>
      </c>
      <c r="B161">
        <v>448.96</v>
      </c>
      <c r="C161">
        <v>441.23</v>
      </c>
      <c r="D161">
        <v>454.3</v>
      </c>
      <c r="E161">
        <v>438</v>
      </c>
      <c r="F161" t="s">
        <v>585</v>
      </c>
      <c r="G161">
        <v>8.8999999999999999E-3</v>
      </c>
    </row>
    <row r="162" spans="1:7" x14ac:dyDescent="0.45">
      <c r="A162" s="4">
        <v>46035</v>
      </c>
      <c r="B162">
        <v>447.2</v>
      </c>
      <c r="C162">
        <v>450.2</v>
      </c>
      <c r="D162">
        <v>451.81</v>
      </c>
      <c r="E162">
        <v>443.95</v>
      </c>
      <c r="F162" t="s">
        <v>584</v>
      </c>
      <c r="G162">
        <v>-3.8999999999999998E-3</v>
      </c>
    </row>
    <row r="163" spans="1:7" x14ac:dyDescent="0.45">
      <c r="A163" s="4">
        <v>46036</v>
      </c>
      <c r="B163">
        <v>439.2</v>
      </c>
      <c r="C163">
        <v>442.81</v>
      </c>
      <c r="D163">
        <v>443.91</v>
      </c>
      <c r="E163">
        <v>434.22</v>
      </c>
      <c r="F163" t="s">
        <v>583</v>
      </c>
      <c r="G163">
        <v>-1.7899999999999999E-2</v>
      </c>
    </row>
    <row r="164" spans="1:7" x14ac:dyDescent="0.45">
      <c r="A164" s="4">
        <v>46037</v>
      </c>
      <c r="B164">
        <v>438.57</v>
      </c>
      <c r="C164">
        <v>441.13</v>
      </c>
      <c r="D164">
        <v>445.36</v>
      </c>
      <c r="E164">
        <v>437.65</v>
      </c>
      <c r="F164" t="s">
        <v>582</v>
      </c>
      <c r="G164">
        <v>-1.4E-3</v>
      </c>
    </row>
    <row r="165" spans="1:7" x14ac:dyDescent="0.45">
      <c r="A165" s="4">
        <v>46038</v>
      </c>
      <c r="B165">
        <v>437.5</v>
      </c>
      <c r="C165">
        <v>439.5</v>
      </c>
      <c r="D165">
        <v>447.25</v>
      </c>
      <c r="E165">
        <v>435.26</v>
      </c>
      <c r="F165" t="s">
        <v>581</v>
      </c>
      <c r="G165">
        <v>-2.3999999999999998E-3</v>
      </c>
    </row>
    <row r="166" spans="1:7" x14ac:dyDescent="0.45">
      <c r="A166" s="4">
        <v>46042</v>
      </c>
      <c r="B166">
        <v>419.25</v>
      </c>
      <c r="C166">
        <v>429.36</v>
      </c>
      <c r="D166">
        <v>430.73</v>
      </c>
      <c r="E166">
        <v>417.44</v>
      </c>
      <c r="F166" t="s">
        <v>580</v>
      </c>
      <c r="G166">
        <v>-4.1700000000000001E-2</v>
      </c>
    </row>
    <row r="167" spans="1:7" x14ac:dyDescent="0.45">
      <c r="A167" s="4">
        <v>46043</v>
      </c>
      <c r="B167">
        <v>431.44</v>
      </c>
      <c r="C167">
        <v>421.66</v>
      </c>
      <c r="D167">
        <v>438.2</v>
      </c>
      <c r="E167">
        <v>419.62</v>
      </c>
      <c r="F167" t="s">
        <v>579</v>
      </c>
      <c r="G167">
        <v>2.9100000000000001E-2</v>
      </c>
    </row>
    <row r="168" spans="1:7" x14ac:dyDescent="0.45">
      <c r="A168" s="4">
        <v>46044</v>
      </c>
      <c r="B168">
        <v>449.36</v>
      </c>
      <c r="C168">
        <v>435.16</v>
      </c>
      <c r="D168">
        <v>449.5</v>
      </c>
      <c r="E168">
        <v>432.63</v>
      </c>
      <c r="F168" t="s">
        <v>578</v>
      </c>
      <c r="G168">
        <v>4.1500000000000002E-2</v>
      </c>
    </row>
    <row r="169" spans="1:7" x14ac:dyDescent="0.45">
      <c r="A169" s="4">
        <v>46045</v>
      </c>
      <c r="B169">
        <v>449.06</v>
      </c>
      <c r="C169">
        <v>447.42</v>
      </c>
      <c r="D169">
        <v>452.43</v>
      </c>
      <c r="E169">
        <v>444.04</v>
      </c>
      <c r="F169" t="s">
        <v>577</v>
      </c>
      <c r="G169">
        <v>-6.9999999999999999E-4</v>
      </c>
    </row>
    <row r="170" spans="1:7" x14ac:dyDescent="0.45">
      <c r="A170" s="4">
        <v>46048</v>
      </c>
      <c r="B170">
        <v>435.2</v>
      </c>
      <c r="C170">
        <v>445</v>
      </c>
      <c r="D170">
        <v>445.04</v>
      </c>
      <c r="E170">
        <v>434.28</v>
      </c>
      <c r="F170" t="s">
        <v>576</v>
      </c>
      <c r="G170">
        <v>-3.09E-2</v>
      </c>
    </row>
    <row r="171" spans="1:7" x14ac:dyDescent="0.45">
      <c r="A171" s="4">
        <v>46049</v>
      </c>
      <c r="B171">
        <v>430.9</v>
      </c>
      <c r="C171">
        <v>437.41</v>
      </c>
      <c r="D171">
        <v>437.52</v>
      </c>
      <c r="E171">
        <v>430.69</v>
      </c>
      <c r="F171" t="s">
        <v>575</v>
      </c>
      <c r="G171">
        <v>-9.9000000000000008E-3</v>
      </c>
    </row>
    <row r="172" spans="1:7" x14ac:dyDescent="0.45">
      <c r="A172" s="4">
        <v>46050</v>
      </c>
      <c r="B172">
        <v>431.46</v>
      </c>
      <c r="C172">
        <v>431.91</v>
      </c>
      <c r="D172">
        <v>438.26</v>
      </c>
      <c r="E172">
        <v>430.1</v>
      </c>
      <c r="F172" t="s">
        <v>574</v>
      </c>
      <c r="G172">
        <v>1.2999999999999999E-3</v>
      </c>
    </row>
    <row r="173" spans="1:7" x14ac:dyDescent="0.45">
      <c r="A173" s="4">
        <v>46051</v>
      </c>
      <c r="B173">
        <v>416.56</v>
      </c>
      <c r="C173">
        <v>437.8</v>
      </c>
      <c r="D173">
        <v>440.23</v>
      </c>
      <c r="E173">
        <v>414.62</v>
      </c>
      <c r="F173" t="s">
        <v>573</v>
      </c>
      <c r="G173">
        <v>-3.4500000000000003E-2</v>
      </c>
    </row>
    <row r="174" spans="1:7" x14ac:dyDescent="0.45">
      <c r="A174" s="4">
        <v>46052</v>
      </c>
      <c r="B174">
        <v>430.41</v>
      </c>
      <c r="C174">
        <v>425.35</v>
      </c>
      <c r="D174">
        <v>439.88</v>
      </c>
      <c r="E174">
        <v>422.7</v>
      </c>
      <c r="F174" t="s">
        <v>572</v>
      </c>
      <c r="G174">
        <v>3.32E-2</v>
      </c>
    </row>
    <row r="175" spans="1:7" x14ac:dyDescent="0.45">
      <c r="A175" s="4">
        <v>46055</v>
      </c>
      <c r="B175">
        <v>421.81</v>
      </c>
      <c r="C175">
        <v>421.29</v>
      </c>
      <c r="D175">
        <v>427.15</v>
      </c>
      <c r="E175">
        <v>414.5</v>
      </c>
      <c r="F175" t="s">
        <v>571</v>
      </c>
      <c r="G175">
        <v>-0.02</v>
      </c>
    </row>
    <row r="176" spans="1:7" x14ac:dyDescent="0.45">
      <c r="A176" s="4">
        <v>46056</v>
      </c>
      <c r="B176">
        <v>421.96</v>
      </c>
      <c r="C176">
        <v>424.27</v>
      </c>
      <c r="D176">
        <v>428.56</v>
      </c>
      <c r="E176">
        <v>413.69</v>
      </c>
      <c r="F176" t="s">
        <v>555</v>
      </c>
      <c r="G176">
        <v>4.0000000000000002E-4</v>
      </c>
    </row>
    <row r="177" spans="1:7" x14ac:dyDescent="0.45">
      <c r="A177" s="4">
        <v>46057</v>
      </c>
      <c r="B177">
        <v>406.01</v>
      </c>
      <c r="C177">
        <v>420.46</v>
      </c>
      <c r="D177">
        <v>423.9</v>
      </c>
      <c r="E177">
        <v>399.18</v>
      </c>
      <c r="F177" t="s">
        <v>540</v>
      </c>
      <c r="G177">
        <v>-3.78E-2</v>
      </c>
    </row>
    <row r="178" spans="1:7" x14ac:dyDescent="0.45">
      <c r="A178" s="4">
        <v>46058</v>
      </c>
      <c r="B178">
        <v>397.21</v>
      </c>
      <c r="C178">
        <v>397.02</v>
      </c>
      <c r="D178">
        <v>402.1</v>
      </c>
      <c r="E178">
        <v>387.53</v>
      </c>
      <c r="F178" t="s">
        <v>570</v>
      </c>
      <c r="G178">
        <v>-2.1700000000000001E-2</v>
      </c>
    </row>
    <row r="179" spans="1:7" x14ac:dyDescent="0.45">
      <c r="A179" s="4">
        <v>46059</v>
      </c>
      <c r="B179">
        <v>411.11</v>
      </c>
      <c r="C179">
        <v>400.87</v>
      </c>
      <c r="D179">
        <v>414.55</v>
      </c>
      <c r="E179">
        <v>397.75</v>
      </c>
      <c r="F179" t="s">
        <v>569</v>
      </c>
      <c r="G179">
        <v>3.5000000000000003E-2</v>
      </c>
    </row>
    <row r="180" spans="1:7" x14ac:dyDescent="0.45">
      <c r="A180" s="4">
        <v>46062</v>
      </c>
      <c r="B180">
        <v>417.32</v>
      </c>
      <c r="C180">
        <v>409.9</v>
      </c>
      <c r="D180">
        <v>421.25</v>
      </c>
      <c r="E180">
        <v>407.29</v>
      </c>
      <c r="F180" t="s">
        <v>568</v>
      </c>
      <c r="G180">
        <v>1.5100000000000001E-2</v>
      </c>
    </row>
    <row r="181" spans="1:7" x14ac:dyDescent="0.45">
      <c r="A181" s="4">
        <v>46063</v>
      </c>
      <c r="B181">
        <v>425.21</v>
      </c>
      <c r="C181">
        <v>418.08</v>
      </c>
      <c r="D181">
        <v>427.25</v>
      </c>
      <c r="E181">
        <v>417</v>
      </c>
      <c r="F181" t="s">
        <v>567</v>
      </c>
      <c r="G181">
        <v>1.89E-2</v>
      </c>
    </row>
    <row r="182" spans="1:7" x14ac:dyDescent="0.45">
      <c r="A182" s="4">
        <v>46064</v>
      </c>
      <c r="B182">
        <v>428.27</v>
      </c>
      <c r="C182">
        <v>427.95</v>
      </c>
      <c r="D182">
        <v>436.35</v>
      </c>
      <c r="E182">
        <v>420.03</v>
      </c>
      <c r="F182" t="s">
        <v>566</v>
      </c>
      <c r="G182">
        <v>7.1999999999999998E-3</v>
      </c>
    </row>
    <row r="183" spans="1:7" x14ac:dyDescent="0.45">
      <c r="A183" s="4">
        <v>46065</v>
      </c>
      <c r="B183">
        <v>417.07</v>
      </c>
      <c r="C183">
        <v>430.3</v>
      </c>
      <c r="D183">
        <v>436.23</v>
      </c>
      <c r="E183">
        <v>414</v>
      </c>
      <c r="F183" t="s">
        <v>565</v>
      </c>
      <c r="G183">
        <v>-2.6200000000000001E-2</v>
      </c>
    </row>
    <row r="184" spans="1:7" x14ac:dyDescent="0.45">
      <c r="A184" s="4">
        <v>46066</v>
      </c>
      <c r="B184">
        <v>417.44</v>
      </c>
      <c r="C184">
        <v>414.3</v>
      </c>
      <c r="D184">
        <v>424.06</v>
      </c>
      <c r="E184">
        <v>410.88</v>
      </c>
      <c r="F184" t="s">
        <v>564</v>
      </c>
      <c r="G184">
        <v>8.9999999999999998E-4</v>
      </c>
    </row>
    <row r="185" spans="1:7" x14ac:dyDescent="0.45">
      <c r="A185" s="4">
        <v>46070</v>
      </c>
      <c r="B185">
        <v>410.63</v>
      </c>
      <c r="C185">
        <v>412.36</v>
      </c>
      <c r="D185">
        <v>413.72</v>
      </c>
      <c r="E185">
        <v>400.51</v>
      </c>
      <c r="F185" t="s">
        <v>563</v>
      </c>
      <c r="G185">
        <v>-1.6299999999999999E-2</v>
      </c>
    </row>
    <row r="186" spans="1:7" x14ac:dyDescent="0.45">
      <c r="A186" s="4">
        <v>46071</v>
      </c>
      <c r="B186">
        <v>411.32</v>
      </c>
      <c r="C186">
        <v>411.11</v>
      </c>
      <c r="D186">
        <v>416.9</v>
      </c>
      <c r="E186">
        <v>409.58</v>
      </c>
      <c r="F186" t="s">
        <v>562</v>
      </c>
      <c r="G186">
        <v>1.6999999999999999E-3</v>
      </c>
    </row>
    <row r="187" spans="1:7" x14ac:dyDescent="0.45">
      <c r="A187" s="4">
        <v>46072</v>
      </c>
      <c r="B187">
        <v>411.71</v>
      </c>
      <c r="C187">
        <v>407.25</v>
      </c>
      <c r="D187">
        <v>415.25</v>
      </c>
      <c r="E187">
        <v>404.11</v>
      </c>
      <c r="F187" t="s">
        <v>561</v>
      </c>
      <c r="G187">
        <v>8.9999999999999998E-4</v>
      </c>
    </row>
    <row r="188" spans="1:7" x14ac:dyDescent="0.45">
      <c r="A188" s="4">
        <v>46073</v>
      </c>
      <c r="B188">
        <v>411.82</v>
      </c>
      <c r="C188">
        <v>408.3</v>
      </c>
      <c r="D188">
        <v>414.7</v>
      </c>
      <c r="E188">
        <v>405.5</v>
      </c>
      <c r="F188" t="s">
        <v>560</v>
      </c>
      <c r="G188">
        <v>2.9999999999999997E-4</v>
      </c>
    </row>
    <row r="189" spans="1:7" x14ac:dyDescent="0.45">
      <c r="A189" s="4">
        <v>46076</v>
      </c>
      <c r="B189">
        <v>399.83</v>
      </c>
      <c r="C189">
        <v>407.29</v>
      </c>
      <c r="D189">
        <v>407.7</v>
      </c>
      <c r="E189">
        <v>394.04</v>
      </c>
      <c r="F189" t="s">
        <v>559</v>
      </c>
      <c r="G189">
        <v>-2.9100000000000001E-2</v>
      </c>
    </row>
    <row r="190" spans="1:7" x14ac:dyDescent="0.45">
      <c r="A190" s="4">
        <v>46077</v>
      </c>
      <c r="B190">
        <v>409.38</v>
      </c>
      <c r="C190">
        <v>399.5</v>
      </c>
      <c r="D190">
        <v>410.82</v>
      </c>
      <c r="E190">
        <v>397.64</v>
      </c>
      <c r="F190" t="s">
        <v>558</v>
      </c>
      <c r="G190">
        <v>2.3900000000000001E-2</v>
      </c>
    </row>
    <row r="191" spans="1:7" x14ac:dyDescent="0.45">
      <c r="A191" s="4">
        <v>46078</v>
      </c>
      <c r="B191">
        <v>417.4</v>
      </c>
      <c r="C191">
        <v>412.15</v>
      </c>
      <c r="D191">
        <v>420.34</v>
      </c>
      <c r="E191">
        <v>412.15</v>
      </c>
      <c r="F191" t="s">
        <v>557</v>
      </c>
      <c r="G191">
        <v>1.9599999999999999E-2</v>
      </c>
    </row>
    <row r="192" spans="1:7" x14ac:dyDescent="0.45">
      <c r="A192" s="4">
        <v>46079</v>
      </c>
      <c r="B192">
        <v>408.58</v>
      </c>
      <c r="C192">
        <v>414.42</v>
      </c>
      <c r="D192">
        <v>416.81</v>
      </c>
      <c r="E192">
        <v>403.66</v>
      </c>
      <c r="F192" t="s">
        <v>556</v>
      </c>
      <c r="G192">
        <v>-2.1100000000000001E-2</v>
      </c>
    </row>
    <row r="193" spans="1:7" x14ac:dyDescent="0.45">
      <c r="A193" s="4">
        <v>46080</v>
      </c>
      <c r="B193">
        <v>402.51</v>
      </c>
      <c r="C193">
        <v>402.94</v>
      </c>
      <c r="D193">
        <v>407.12</v>
      </c>
      <c r="E193">
        <v>398.11</v>
      </c>
      <c r="F193" t="s">
        <v>555</v>
      </c>
      <c r="G193">
        <v>-1.49E-2</v>
      </c>
    </row>
    <row r="194" spans="1:7" x14ac:dyDescent="0.45">
      <c r="A194" s="4">
        <v>46083</v>
      </c>
      <c r="B194">
        <v>403.32</v>
      </c>
      <c r="C194">
        <v>390.6</v>
      </c>
      <c r="D194">
        <v>404.54</v>
      </c>
      <c r="E194">
        <v>388.25</v>
      </c>
      <c r="F194" t="s">
        <v>554</v>
      </c>
      <c r="G194">
        <v>2E-3</v>
      </c>
    </row>
    <row r="195" spans="1:7" x14ac:dyDescent="0.45">
      <c r="A195" s="4">
        <v>46084</v>
      </c>
      <c r="B195">
        <v>392.43</v>
      </c>
      <c r="C195">
        <v>395.09</v>
      </c>
      <c r="D195">
        <v>396.34</v>
      </c>
      <c r="E195">
        <v>385.39</v>
      </c>
      <c r="F195" t="s">
        <v>553</v>
      </c>
      <c r="G195">
        <v>-2.7E-2</v>
      </c>
    </row>
    <row r="196" spans="1:7" x14ac:dyDescent="0.45">
      <c r="A196" s="4">
        <v>46085</v>
      </c>
      <c r="B196">
        <v>405.94</v>
      </c>
      <c r="C196">
        <v>397.85</v>
      </c>
      <c r="D196">
        <v>408.33</v>
      </c>
      <c r="E196">
        <v>394.58</v>
      </c>
      <c r="F196" t="s">
        <v>552</v>
      </c>
      <c r="G196">
        <v>3.44E-2</v>
      </c>
    </row>
    <row r="197" spans="1:7" x14ac:dyDescent="0.45">
      <c r="A197" s="4">
        <v>46086</v>
      </c>
      <c r="B197">
        <v>405.55</v>
      </c>
      <c r="C197">
        <v>401.57</v>
      </c>
      <c r="D197">
        <v>408.62</v>
      </c>
      <c r="E197">
        <v>399.42</v>
      </c>
      <c r="F197" t="s">
        <v>551</v>
      </c>
      <c r="G197">
        <v>-1E-3</v>
      </c>
    </row>
    <row r="198" spans="1:7" x14ac:dyDescent="0.45">
      <c r="A198" s="4">
        <v>46087</v>
      </c>
      <c r="B198">
        <v>396.73</v>
      </c>
      <c r="C198">
        <v>398.09</v>
      </c>
      <c r="D198">
        <v>402.35</v>
      </c>
      <c r="E198">
        <v>394.21</v>
      </c>
      <c r="F198" t="s">
        <v>550</v>
      </c>
      <c r="G198">
        <v>-2.1700000000000001E-2</v>
      </c>
    </row>
    <row r="199" spans="1:7" x14ac:dyDescent="0.45">
      <c r="A199" s="4">
        <v>46090</v>
      </c>
      <c r="B199">
        <v>398.68</v>
      </c>
      <c r="C199">
        <v>390.05</v>
      </c>
      <c r="D199">
        <v>401.59</v>
      </c>
      <c r="E199">
        <v>381.4</v>
      </c>
      <c r="F199" t="s">
        <v>549</v>
      </c>
      <c r="G199">
        <v>4.8999999999999998E-3</v>
      </c>
    </row>
    <row r="200" spans="1:7" x14ac:dyDescent="0.45">
      <c r="A200" s="4">
        <v>46091</v>
      </c>
      <c r="B200">
        <v>399.23</v>
      </c>
      <c r="C200">
        <v>402.22</v>
      </c>
      <c r="D200">
        <v>406.59</v>
      </c>
      <c r="E200">
        <v>398.19</v>
      </c>
      <c r="F200" t="s">
        <v>548</v>
      </c>
      <c r="G200">
        <v>1.4E-3</v>
      </c>
    </row>
    <row r="201" spans="1:7" x14ac:dyDescent="0.45">
      <c r="A201" s="4">
        <v>46092</v>
      </c>
      <c r="B201">
        <v>407.82</v>
      </c>
      <c r="C201">
        <v>402.28</v>
      </c>
      <c r="D201">
        <v>416.38</v>
      </c>
      <c r="E201">
        <v>402.15</v>
      </c>
      <c r="F201" t="s">
        <v>547</v>
      </c>
      <c r="G201">
        <v>2.1499999999999998E-2</v>
      </c>
    </row>
    <row r="202" spans="1:7" x14ac:dyDescent="0.45">
      <c r="A202" s="4">
        <v>46093</v>
      </c>
      <c r="B202">
        <v>395.01</v>
      </c>
      <c r="C202">
        <v>405.17</v>
      </c>
      <c r="D202">
        <v>406.5</v>
      </c>
      <c r="E202">
        <v>394.65</v>
      </c>
      <c r="F202" t="s">
        <v>546</v>
      </c>
      <c r="G202">
        <v>-3.1399999999999997E-2</v>
      </c>
    </row>
    <row r="203" spans="1:7" x14ac:dyDescent="0.45">
      <c r="A203" s="4">
        <v>46094</v>
      </c>
      <c r="B203">
        <v>391.2</v>
      </c>
      <c r="C203">
        <v>399.17</v>
      </c>
      <c r="D203">
        <v>400.2</v>
      </c>
      <c r="E203">
        <v>389.95</v>
      </c>
      <c r="F203" t="s">
        <v>545</v>
      </c>
      <c r="G203">
        <v>-9.5999999999999992E-3</v>
      </c>
    </row>
    <row r="204" spans="1:7" x14ac:dyDescent="0.45">
      <c r="A204" s="4">
        <v>46097</v>
      </c>
      <c r="B204">
        <v>395.56</v>
      </c>
      <c r="C204">
        <v>396.22</v>
      </c>
      <c r="D204">
        <v>403.73</v>
      </c>
      <c r="E204">
        <v>394.42</v>
      </c>
      <c r="F204" t="s">
        <v>544</v>
      </c>
      <c r="G204">
        <v>1.11E-2</v>
      </c>
    </row>
    <row r="205" spans="1:7" x14ac:dyDescent="0.45">
      <c r="A205" s="4">
        <v>46098</v>
      </c>
      <c r="B205">
        <v>399.27</v>
      </c>
      <c r="C205">
        <v>395.69</v>
      </c>
      <c r="D205">
        <v>400.12</v>
      </c>
      <c r="E205">
        <v>393</v>
      </c>
      <c r="F205" t="s">
        <v>543</v>
      </c>
      <c r="G205">
        <v>9.4000000000000004E-3</v>
      </c>
    </row>
    <row r="206" spans="1:7" x14ac:dyDescent="0.45">
      <c r="A206" s="4">
        <v>46099</v>
      </c>
      <c r="B206">
        <v>392.78</v>
      </c>
      <c r="C206">
        <v>399</v>
      </c>
      <c r="D206">
        <v>403.07</v>
      </c>
      <c r="E206">
        <v>392.31</v>
      </c>
      <c r="F206" t="s">
        <v>50</v>
      </c>
      <c r="G206">
        <v>-1.6299999999999999E-2</v>
      </c>
    </row>
    <row r="207" spans="1:7" x14ac:dyDescent="0.45">
      <c r="A207" s="4">
        <v>46100</v>
      </c>
      <c r="B207">
        <v>380.3</v>
      </c>
      <c r="C207">
        <v>387.27</v>
      </c>
      <c r="D207">
        <v>387.27</v>
      </c>
      <c r="E207">
        <v>378.73</v>
      </c>
      <c r="F207" t="s">
        <v>542</v>
      </c>
      <c r="G207">
        <v>-3.1800000000000002E-2</v>
      </c>
    </row>
    <row r="208" spans="1:7" x14ac:dyDescent="0.45">
      <c r="A208" s="4">
        <v>46101</v>
      </c>
      <c r="B208">
        <v>367.96</v>
      </c>
      <c r="C208">
        <v>379.85</v>
      </c>
      <c r="D208">
        <v>379.89</v>
      </c>
      <c r="E208">
        <v>364.46</v>
      </c>
      <c r="F208" t="s">
        <v>541</v>
      </c>
      <c r="G208">
        <v>-3.2399999999999998E-2</v>
      </c>
    </row>
    <row r="209" spans="1:7" x14ac:dyDescent="0.45">
      <c r="A209" s="4">
        <v>46104</v>
      </c>
      <c r="B209">
        <v>380.85</v>
      </c>
      <c r="C209">
        <v>373.09</v>
      </c>
      <c r="D209">
        <v>385.33</v>
      </c>
      <c r="E209">
        <v>372.73</v>
      </c>
      <c r="F209" t="s">
        <v>540</v>
      </c>
      <c r="G209">
        <v>3.5000000000000003E-2</v>
      </c>
    </row>
    <row r="210" spans="1:7" x14ac:dyDescent="0.45">
      <c r="A210" s="4">
        <v>46105</v>
      </c>
      <c r="B210">
        <v>383.03</v>
      </c>
      <c r="C210">
        <v>376.56</v>
      </c>
      <c r="D210">
        <v>387.48</v>
      </c>
      <c r="E210">
        <v>376.31</v>
      </c>
      <c r="F210" t="s">
        <v>539</v>
      </c>
      <c r="G210">
        <v>5.7000000000000002E-3</v>
      </c>
    </row>
    <row r="211" spans="1:7" x14ac:dyDescent="0.45">
      <c r="A211" s="4">
        <v>46106</v>
      </c>
      <c r="B211">
        <v>385.95</v>
      </c>
      <c r="C211">
        <v>389.99</v>
      </c>
      <c r="D211">
        <v>396.23</v>
      </c>
      <c r="E211">
        <v>385.01</v>
      </c>
      <c r="F211" t="s">
        <v>538</v>
      </c>
      <c r="G211">
        <v>7.6E-3</v>
      </c>
    </row>
    <row r="212" spans="1:7" x14ac:dyDescent="0.45">
      <c r="A212" s="4">
        <v>46107</v>
      </c>
      <c r="B212">
        <v>372.11</v>
      </c>
      <c r="C212">
        <v>381.6</v>
      </c>
      <c r="D212">
        <v>384.44</v>
      </c>
      <c r="E212">
        <v>371.87</v>
      </c>
      <c r="F212" t="s">
        <v>537</v>
      </c>
      <c r="G212">
        <v>-3.5900000000000001E-2</v>
      </c>
    </row>
    <row r="213" spans="1:7" x14ac:dyDescent="0.45">
      <c r="A213" s="4">
        <v>46108</v>
      </c>
      <c r="B213">
        <v>361.83</v>
      </c>
      <c r="C213">
        <v>369.69</v>
      </c>
      <c r="D213">
        <v>369.86</v>
      </c>
      <c r="E213">
        <v>359.47</v>
      </c>
      <c r="F213" t="s">
        <v>536</v>
      </c>
      <c r="G213">
        <v>-2.76E-2</v>
      </c>
    </row>
    <row r="214" spans="1:7" x14ac:dyDescent="0.45">
      <c r="A214" s="4">
        <v>46111</v>
      </c>
      <c r="B214">
        <v>355.28</v>
      </c>
      <c r="C214">
        <v>365.86</v>
      </c>
      <c r="D214">
        <v>367.29</v>
      </c>
      <c r="E214">
        <v>352.14</v>
      </c>
      <c r="F214" t="s">
        <v>535</v>
      </c>
      <c r="G214">
        <v>-1.8100000000000002E-2</v>
      </c>
    </row>
    <row r="215" spans="1:7" x14ac:dyDescent="0.45">
      <c r="A215" s="4">
        <v>46112</v>
      </c>
      <c r="B215">
        <v>371.75</v>
      </c>
      <c r="C215">
        <v>361.51</v>
      </c>
      <c r="D215">
        <v>373.33</v>
      </c>
      <c r="E215">
        <v>361</v>
      </c>
      <c r="F215" t="s">
        <v>534</v>
      </c>
      <c r="G215">
        <v>4.6399999999999997E-2</v>
      </c>
    </row>
    <row r="216" spans="1:7" x14ac:dyDescent="0.45">
      <c r="A216" s="4">
        <v>46113</v>
      </c>
      <c r="B216">
        <v>381.26</v>
      </c>
      <c r="C216">
        <v>378.63</v>
      </c>
      <c r="D216">
        <v>383.14</v>
      </c>
      <c r="E216">
        <v>374.08</v>
      </c>
      <c r="F216" t="s">
        <v>533</v>
      </c>
      <c r="G216">
        <v>2.5600000000000001E-2</v>
      </c>
    </row>
    <row r="217" spans="1:7" x14ac:dyDescent="0.45">
      <c r="A217" s="4">
        <v>46114</v>
      </c>
      <c r="B217">
        <v>360.59</v>
      </c>
      <c r="C217">
        <v>364.2</v>
      </c>
      <c r="D217">
        <v>370.28</v>
      </c>
      <c r="E217">
        <v>359.03</v>
      </c>
      <c r="F217" t="s">
        <v>532</v>
      </c>
      <c r="G217">
        <v>-5.4199999999999998E-2</v>
      </c>
    </row>
    <row r="218" spans="1:7" x14ac:dyDescent="0.45">
      <c r="A218" s="4">
        <v>46118</v>
      </c>
      <c r="B218">
        <v>352.82</v>
      </c>
      <c r="C218">
        <v>362.59</v>
      </c>
      <c r="D218">
        <v>367.72</v>
      </c>
      <c r="E218">
        <v>346.64</v>
      </c>
      <c r="F218" t="s">
        <v>531</v>
      </c>
      <c r="G218">
        <v>-2.1499999999999998E-2</v>
      </c>
    </row>
    <row r="219" spans="1:7" x14ac:dyDescent="0.45">
      <c r="A219" s="4">
        <v>46119</v>
      </c>
      <c r="B219">
        <v>346.65</v>
      </c>
      <c r="C219">
        <v>346.44</v>
      </c>
      <c r="D219">
        <v>348.02</v>
      </c>
      <c r="E219">
        <v>337.24</v>
      </c>
      <c r="F219" t="s">
        <v>530</v>
      </c>
      <c r="G219">
        <v>-1.7500000000000002E-2</v>
      </c>
    </row>
    <row r="220" spans="1:7" x14ac:dyDescent="0.45">
      <c r="A220" s="4">
        <v>46120</v>
      </c>
      <c r="B220">
        <v>343.25</v>
      </c>
      <c r="C220">
        <v>363.79</v>
      </c>
      <c r="D220">
        <v>364.5</v>
      </c>
      <c r="E220">
        <v>339.67</v>
      </c>
      <c r="F220" t="s">
        <v>529</v>
      </c>
      <c r="G220">
        <v>-9.7999999999999997E-3</v>
      </c>
    </row>
    <row r="221" spans="1:7" x14ac:dyDescent="0.45">
      <c r="A221" s="4">
        <v>46121</v>
      </c>
      <c r="B221">
        <v>345.62</v>
      </c>
      <c r="C221">
        <v>343.15</v>
      </c>
      <c r="D221">
        <v>348.88</v>
      </c>
      <c r="E221">
        <v>337.25</v>
      </c>
      <c r="F221" t="s">
        <v>528</v>
      </c>
      <c r="G221">
        <v>6.8999999999999999E-3</v>
      </c>
    </row>
    <row r="222" spans="1:7" x14ac:dyDescent="0.45">
      <c r="A222" s="4">
        <v>46122</v>
      </c>
      <c r="B222">
        <v>348.95</v>
      </c>
      <c r="C222">
        <v>346.29</v>
      </c>
      <c r="D222">
        <v>350.36</v>
      </c>
      <c r="E222">
        <v>342.74</v>
      </c>
      <c r="F222" t="s">
        <v>527</v>
      </c>
      <c r="G222">
        <v>9.5999999999999992E-3</v>
      </c>
    </row>
    <row r="223" spans="1:7" x14ac:dyDescent="0.45">
      <c r="A223" s="4">
        <v>46125</v>
      </c>
      <c r="B223">
        <v>352.42</v>
      </c>
      <c r="C223">
        <v>350.07</v>
      </c>
      <c r="D223">
        <v>356.35</v>
      </c>
      <c r="E223">
        <v>348.57</v>
      </c>
      <c r="F223" t="s">
        <v>526</v>
      </c>
      <c r="G223">
        <v>9.9000000000000008E-3</v>
      </c>
    </row>
    <row r="224" spans="1:7" x14ac:dyDescent="0.45">
      <c r="A224" s="4">
        <v>46126</v>
      </c>
      <c r="B224">
        <v>364.2</v>
      </c>
      <c r="C224">
        <v>357.67</v>
      </c>
      <c r="D224">
        <v>367.63</v>
      </c>
      <c r="E224">
        <v>354.77</v>
      </c>
      <c r="F224" t="s">
        <v>525</v>
      </c>
      <c r="G224">
        <v>3.3399999999999999E-2</v>
      </c>
    </row>
    <row r="225" spans="1:7" x14ac:dyDescent="0.45">
      <c r="A225" s="4">
        <v>46127</v>
      </c>
      <c r="B225">
        <v>391.95</v>
      </c>
      <c r="C225">
        <v>366.83</v>
      </c>
      <c r="D225">
        <v>394.65</v>
      </c>
      <c r="E225">
        <v>362.5</v>
      </c>
      <c r="F225" t="s">
        <v>524</v>
      </c>
      <c r="G225">
        <v>7.6200000000000004E-2</v>
      </c>
    </row>
    <row r="226" spans="1:7" x14ac:dyDescent="0.45">
      <c r="A226" s="4">
        <v>46128</v>
      </c>
      <c r="B226">
        <v>388.9</v>
      </c>
      <c r="C226">
        <v>393.81</v>
      </c>
      <c r="D226">
        <v>394.06</v>
      </c>
      <c r="E226">
        <v>381.8</v>
      </c>
      <c r="F226" t="s">
        <v>523</v>
      </c>
      <c r="G226">
        <v>-7.7999999999999996E-3</v>
      </c>
    </row>
    <row r="227" spans="1:7" x14ac:dyDescent="0.45">
      <c r="A227" s="4">
        <v>46129</v>
      </c>
      <c r="B227">
        <v>400.62</v>
      </c>
      <c r="C227">
        <v>395.92</v>
      </c>
      <c r="D227">
        <v>409.28</v>
      </c>
      <c r="E227">
        <v>391.65</v>
      </c>
      <c r="F227" t="s">
        <v>522</v>
      </c>
      <c r="G227">
        <v>3.0099999999999998E-2</v>
      </c>
    </row>
    <row r="228" spans="1:7" x14ac:dyDescent="0.45">
      <c r="A228" s="4">
        <v>46132</v>
      </c>
      <c r="B228">
        <v>392.5</v>
      </c>
      <c r="C228">
        <v>402.58</v>
      </c>
      <c r="D228">
        <v>406.8</v>
      </c>
      <c r="E228">
        <v>388.33</v>
      </c>
      <c r="F228" t="s">
        <v>521</v>
      </c>
      <c r="G228">
        <v>-2.0299999999999999E-2</v>
      </c>
    </row>
    <row r="229" spans="1:7" x14ac:dyDescent="0.45">
      <c r="A229" s="4">
        <v>46133</v>
      </c>
      <c r="B229">
        <v>386.42</v>
      </c>
      <c r="C229">
        <v>393</v>
      </c>
      <c r="D229">
        <v>393.95</v>
      </c>
      <c r="E229">
        <v>385.22</v>
      </c>
      <c r="F229" t="s">
        <v>520</v>
      </c>
      <c r="G229">
        <v>-1.55E-2</v>
      </c>
    </row>
    <row r="230" spans="1:7" x14ac:dyDescent="0.45">
      <c r="A230" s="4">
        <v>46134</v>
      </c>
      <c r="B230">
        <v>387.51</v>
      </c>
      <c r="C230">
        <v>387.57</v>
      </c>
      <c r="D230">
        <v>393.01</v>
      </c>
      <c r="E230">
        <v>385.3</v>
      </c>
      <c r="F230" t="s">
        <v>519</v>
      </c>
      <c r="G230">
        <v>2.8E-3</v>
      </c>
    </row>
    <row r="231" spans="1:7" x14ac:dyDescent="0.45">
      <c r="A231" s="4">
        <v>46135</v>
      </c>
      <c r="B231">
        <v>373.72</v>
      </c>
      <c r="C231">
        <v>375.28</v>
      </c>
      <c r="D231">
        <v>386</v>
      </c>
      <c r="E231">
        <v>368.39</v>
      </c>
      <c r="F231" t="s">
        <v>518</v>
      </c>
      <c r="G231">
        <v>-3.56E-2</v>
      </c>
    </row>
    <row r="232" spans="1:7" x14ac:dyDescent="0.45">
      <c r="A232" s="4">
        <v>46136</v>
      </c>
      <c r="B232">
        <v>376.3</v>
      </c>
      <c r="C232">
        <v>373.5</v>
      </c>
      <c r="D232">
        <v>382.76</v>
      </c>
      <c r="E232">
        <v>370.73</v>
      </c>
      <c r="F232" t="s">
        <v>517</v>
      </c>
      <c r="G232">
        <v>6.8999999999999999E-3</v>
      </c>
    </row>
    <row r="233" spans="1:7" x14ac:dyDescent="0.45">
      <c r="A233" s="4">
        <v>46139</v>
      </c>
      <c r="B233">
        <v>378.67</v>
      </c>
      <c r="C233">
        <v>372.09</v>
      </c>
      <c r="D233">
        <v>380.78</v>
      </c>
      <c r="E233">
        <v>364.02</v>
      </c>
      <c r="F233" t="s">
        <v>516</v>
      </c>
      <c r="G233">
        <v>6.3E-3</v>
      </c>
    </row>
    <row r="234" spans="1:7" x14ac:dyDescent="0.45">
      <c r="A234" s="4">
        <v>46140</v>
      </c>
      <c r="B234">
        <v>376.02</v>
      </c>
      <c r="C234">
        <v>374.67</v>
      </c>
      <c r="D234">
        <v>382.29</v>
      </c>
      <c r="E234">
        <v>372.54</v>
      </c>
      <c r="F234" t="s">
        <v>515</v>
      </c>
      <c r="G234">
        <v>-7.0000000000000001E-3</v>
      </c>
    </row>
    <row r="235" spans="1:7" x14ac:dyDescent="0.45">
      <c r="A235" s="4">
        <v>46141</v>
      </c>
      <c r="B235">
        <v>372.8</v>
      </c>
      <c r="C235">
        <v>375.4</v>
      </c>
      <c r="D235">
        <v>376.4</v>
      </c>
      <c r="E235">
        <v>370.04</v>
      </c>
      <c r="F235" t="s">
        <v>514</v>
      </c>
      <c r="G235">
        <v>-8.6E-3</v>
      </c>
    </row>
    <row r="236" spans="1:7" x14ac:dyDescent="0.45">
      <c r="A236" s="4">
        <v>46142</v>
      </c>
      <c r="B236">
        <v>381.63</v>
      </c>
      <c r="C236">
        <v>372.75</v>
      </c>
      <c r="D236">
        <v>384.75</v>
      </c>
      <c r="E236">
        <v>368.17</v>
      </c>
      <c r="F236" t="s">
        <v>513</v>
      </c>
      <c r="G236">
        <v>2.3699999999999999E-2</v>
      </c>
    </row>
    <row r="237" spans="1:7" x14ac:dyDescent="0.45">
      <c r="A237" s="4">
        <v>46143</v>
      </c>
      <c r="B237">
        <v>390.82</v>
      </c>
      <c r="C237">
        <v>382.48</v>
      </c>
      <c r="D237">
        <v>397.82</v>
      </c>
      <c r="E237">
        <v>378.8</v>
      </c>
      <c r="F237" t="s">
        <v>512</v>
      </c>
      <c r="G237">
        <v>2.41E-2</v>
      </c>
    </row>
    <row r="238" spans="1:7" x14ac:dyDescent="0.45">
      <c r="A238" s="4">
        <v>46146</v>
      </c>
      <c r="B238">
        <v>392.51</v>
      </c>
      <c r="C238">
        <v>390.23</v>
      </c>
      <c r="D238">
        <v>394.64</v>
      </c>
      <c r="E238">
        <v>384.8</v>
      </c>
      <c r="F238" t="s">
        <v>511</v>
      </c>
      <c r="G238">
        <v>4.3E-3</v>
      </c>
    </row>
    <row r="239" spans="1:7" x14ac:dyDescent="0.45">
      <c r="A239" s="4">
        <v>46147</v>
      </c>
      <c r="B239">
        <v>389.37</v>
      </c>
      <c r="C239">
        <v>395.18</v>
      </c>
      <c r="D239">
        <v>402.12</v>
      </c>
      <c r="E239">
        <v>389</v>
      </c>
      <c r="F239" t="s">
        <v>510</v>
      </c>
      <c r="G239">
        <v>-8.0000000000000002E-3</v>
      </c>
    </row>
    <row r="240" spans="1:7" x14ac:dyDescent="0.45">
      <c r="A240" s="4">
        <v>46148</v>
      </c>
      <c r="B240">
        <v>398.73</v>
      </c>
      <c r="C240">
        <v>386.25</v>
      </c>
      <c r="D240">
        <v>401.68</v>
      </c>
      <c r="E240">
        <v>384.02</v>
      </c>
      <c r="F240" t="s">
        <v>509</v>
      </c>
      <c r="G240">
        <v>2.4E-2</v>
      </c>
    </row>
    <row r="241" spans="1:7" x14ac:dyDescent="0.45">
      <c r="A241" s="4">
        <v>46149</v>
      </c>
      <c r="B241">
        <v>411.79</v>
      </c>
      <c r="C241">
        <v>407.48</v>
      </c>
      <c r="D241">
        <v>415.83</v>
      </c>
      <c r="E241">
        <v>402.12</v>
      </c>
      <c r="F241" t="s">
        <v>508</v>
      </c>
      <c r="G241">
        <v>3.2800000000000003E-2</v>
      </c>
    </row>
    <row r="242" spans="1:7" x14ac:dyDescent="0.45">
      <c r="A242" s="4">
        <v>46150</v>
      </c>
      <c r="B242">
        <v>428.35</v>
      </c>
      <c r="C242">
        <v>416.48</v>
      </c>
      <c r="D242">
        <v>431.2</v>
      </c>
      <c r="E242">
        <v>416.39</v>
      </c>
      <c r="F242" t="s">
        <v>507</v>
      </c>
      <c r="G242">
        <v>4.02E-2</v>
      </c>
    </row>
    <row r="243" spans="1:7" x14ac:dyDescent="0.45">
      <c r="A243" s="4">
        <v>46153</v>
      </c>
      <c r="B243">
        <v>445</v>
      </c>
      <c r="C243">
        <v>422.16</v>
      </c>
      <c r="D243">
        <v>449.16</v>
      </c>
      <c r="E243">
        <v>416.8</v>
      </c>
      <c r="F243" t="s">
        <v>506</v>
      </c>
      <c r="G243">
        <v>3.8899999999999997E-2</v>
      </c>
    </row>
    <row r="244" spans="1:7" x14ac:dyDescent="0.45">
      <c r="A244" s="4">
        <v>46154</v>
      </c>
      <c r="B244">
        <v>433.45</v>
      </c>
      <c r="C244">
        <v>441.41</v>
      </c>
      <c r="D244">
        <v>447.8</v>
      </c>
      <c r="E244">
        <v>422.26</v>
      </c>
      <c r="F244" t="s">
        <v>505</v>
      </c>
      <c r="G244">
        <v>-2.5999999999999999E-2</v>
      </c>
    </row>
    <row r="245" spans="1:7" x14ac:dyDescent="0.45">
      <c r="A245" s="4">
        <v>46155</v>
      </c>
      <c r="B245">
        <v>445.27</v>
      </c>
      <c r="C245">
        <v>436.67</v>
      </c>
      <c r="D245">
        <v>453.4</v>
      </c>
      <c r="E245">
        <v>430.21</v>
      </c>
      <c r="F245" t="s">
        <v>504</v>
      </c>
      <c r="G245">
        <v>2.7300000000000001E-2</v>
      </c>
    </row>
    <row r="246" spans="1:7" x14ac:dyDescent="0.45">
      <c r="A246" s="4">
        <v>46156</v>
      </c>
      <c r="B246">
        <v>443.3</v>
      </c>
      <c r="C246">
        <v>446.49</v>
      </c>
      <c r="D246">
        <v>451.98</v>
      </c>
      <c r="E246">
        <v>441.16</v>
      </c>
      <c r="F246" t="s">
        <v>503</v>
      </c>
      <c r="G246">
        <v>-4.4000000000000003E-3</v>
      </c>
    </row>
    <row r="247" spans="1:7" x14ac:dyDescent="0.45">
      <c r="A247" s="4">
        <v>46157</v>
      </c>
      <c r="B247">
        <v>422.24</v>
      </c>
      <c r="C247">
        <v>433.98</v>
      </c>
      <c r="D247">
        <v>434.66</v>
      </c>
      <c r="E247">
        <v>422</v>
      </c>
      <c r="F247" t="s">
        <v>502</v>
      </c>
      <c r="G247">
        <v>-4.7500000000000001E-2</v>
      </c>
    </row>
    <row r="248" spans="1:7" x14ac:dyDescent="0.45">
      <c r="A248" s="4">
        <v>46160</v>
      </c>
      <c r="B248">
        <v>409.99</v>
      </c>
      <c r="C248">
        <v>419.27</v>
      </c>
      <c r="D248">
        <v>421.13</v>
      </c>
      <c r="E248">
        <v>405.33</v>
      </c>
      <c r="F248" t="s">
        <v>174</v>
      </c>
      <c r="G248">
        <v>-2.9000000000000001E-2</v>
      </c>
    </row>
    <row r="249" spans="1:7" x14ac:dyDescent="0.45">
      <c r="A249" s="4">
        <v>46161</v>
      </c>
      <c r="B249">
        <v>404.11</v>
      </c>
      <c r="C249">
        <v>403.16</v>
      </c>
      <c r="D249">
        <v>405.63</v>
      </c>
      <c r="E249">
        <v>393.63</v>
      </c>
      <c r="F249" t="s">
        <v>501</v>
      </c>
      <c r="G249">
        <v>-1.43E-2</v>
      </c>
    </row>
    <row r="250" spans="1:7" x14ac:dyDescent="0.45">
      <c r="A250" s="4">
        <v>46162</v>
      </c>
      <c r="B250">
        <v>417.26</v>
      </c>
      <c r="C250">
        <v>407.6</v>
      </c>
      <c r="D250">
        <v>417.46</v>
      </c>
      <c r="E250">
        <v>406.39</v>
      </c>
      <c r="F250" t="s">
        <v>500</v>
      </c>
      <c r="G250">
        <v>3.2500000000000001E-2</v>
      </c>
    </row>
    <row r="251" spans="1:7" x14ac:dyDescent="0.45">
      <c r="A251" s="4">
        <v>46163</v>
      </c>
      <c r="B251">
        <v>417.85</v>
      </c>
      <c r="C251">
        <v>422.17</v>
      </c>
      <c r="D251">
        <v>426.95</v>
      </c>
      <c r="E251">
        <v>412.9</v>
      </c>
      <c r="F251" t="s">
        <v>499</v>
      </c>
      <c r="G251">
        <v>1.4E-3</v>
      </c>
    </row>
    <row r="252" spans="1:7" x14ac:dyDescent="0.45">
      <c r="A252" s="4">
        <v>46164</v>
      </c>
      <c r="B252">
        <v>426.01</v>
      </c>
      <c r="C252">
        <v>422.67</v>
      </c>
      <c r="D252">
        <v>431.51</v>
      </c>
      <c r="E252">
        <v>420.51</v>
      </c>
      <c r="F252" t="s">
        <v>498</v>
      </c>
      <c r="G252">
        <v>1.95E-2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B8F3-0160-4773-9EF3-9A7F4CD29C38}">
  <dimension ref="B4:E313"/>
  <sheetViews>
    <sheetView tabSelected="1" workbookViewId="0">
      <selection activeCell="E8" sqref="E8"/>
    </sheetView>
  </sheetViews>
  <sheetFormatPr defaultRowHeight="14.25" x14ac:dyDescent="0.45"/>
  <cols>
    <col min="2" max="2" width="12.06640625" customWidth="1"/>
    <col min="3" max="3" width="10.33203125" customWidth="1"/>
    <col min="4" max="4" width="16.06640625" customWidth="1"/>
    <col min="5" max="5" width="13.9296875" customWidth="1"/>
  </cols>
  <sheetData>
    <row r="4" spans="2:5" x14ac:dyDescent="0.45">
      <c r="B4" s="2" t="s">
        <v>740</v>
      </c>
      <c r="C4" s="2" t="s">
        <v>741</v>
      </c>
      <c r="D4" s="2" t="s">
        <v>745</v>
      </c>
      <c r="E4" s="2" t="s">
        <v>746</v>
      </c>
    </row>
    <row r="6" spans="2:5" x14ac:dyDescent="0.45">
      <c r="B6" t="s">
        <v>742</v>
      </c>
      <c r="C6" s="1">
        <f>AVERAGE(MSFT!B2:B252)</f>
        <v>466.89000000000033</v>
      </c>
      <c r="D6" s="1">
        <f>MAX(MSFT!B2:B252)</f>
        <v>542.07000000000005</v>
      </c>
      <c r="E6" s="1">
        <f>MIN(MSFT!B1:B252)</f>
        <v>356.77</v>
      </c>
    </row>
    <row r="7" spans="2:5" x14ac:dyDescent="0.45">
      <c r="B7" t="s">
        <v>743</v>
      </c>
      <c r="C7" s="1">
        <f>AVERAGE(NVIDIA_Stock_Price_History[Price])</f>
        <v>180.89685258964138</v>
      </c>
      <c r="D7" s="1">
        <f>MAX(NVIDIA_Stock_Price_History[[#All],[Price]])</f>
        <v>235.74</v>
      </c>
      <c r="E7" s="1">
        <f>MIN(NVIDIA_Stock_Price_History[Price])</f>
        <v>131.29</v>
      </c>
    </row>
    <row r="8" spans="2:5" x14ac:dyDescent="0.45">
      <c r="B8" t="s">
        <v>744</v>
      </c>
      <c r="C8" s="1">
        <f>AVERAGE(Tesla_Stock_Price_History[Price])</f>
        <v>392.10219123505993</v>
      </c>
      <c r="D8" s="1">
        <f>MAX(Tesla_Stock_Price_History[[#All],[Price]])</f>
        <v>489.88</v>
      </c>
      <c r="E8" s="1">
        <f>MIN(Tesla_Stock_Price_History[Price])</f>
        <v>284.7</v>
      </c>
    </row>
    <row r="14" spans="2:5" x14ac:dyDescent="0.45">
      <c r="B14" s="2" t="s">
        <v>747</v>
      </c>
      <c r="C14" s="2" t="s">
        <v>742</v>
      </c>
      <c r="D14" s="2" t="s">
        <v>743</v>
      </c>
      <c r="E14" s="2" t="s">
        <v>744</v>
      </c>
    </row>
    <row r="15" spans="2:5" x14ac:dyDescent="0.45">
      <c r="B15" s="4">
        <f>MSFT!A2</f>
        <v>45800</v>
      </c>
      <c r="C15" s="3">
        <f>MSFT!B2</f>
        <v>450.18</v>
      </c>
      <c r="D15" s="3">
        <f>NVDA!B2</f>
        <v>131.29</v>
      </c>
      <c r="E15" s="3">
        <f>TSLA!B2</f>
        <v>339.34</v>
      </c>
    </row>
    <row r="16" spans="2:5" x14ac:dyDescent="0.45">
      <c r="B16" s="4">
        <f>MSFT!A3</f>
        <v>45804</v>
      </c>
      <c r="C16" s="3">
        <f>MSFT!B3</f>
        <v>460.69</v>
      </c>
      <c r="D16" s="3">
        <f>NVDA!B3</f>
        <v>135.5</v>
      </c>
      <c r="E16" s="3">
        <f>TSLA!B3</f>
        <v>362.89</v>
      </c>
    </row>
    <row r="17" spans="2:5" x14ac:dyDescent="0.45">
      <c r="B17" s="4">
        <f>MSFT!A4</f>
        <v>45805</v>
      </c>
      <c r="C17" s="3">
        <f>MSFT!B4</f>
        <v>457.36</v>
      </c>
      <c r="D17" s="3">
        <f>NVDA!B4</f>
        <v>134.81</v>
      </c>
      <c r="E17" s="3">
        <f>TSLA!B4</f>
        <v>356.9</v>
      </c>
    </row>
    <row r="18" spans="2:5" x14ac:dyDescent="0.45">
      <c r="B18" s="4">
        <f>MSFT!A5</f>
        <v>45806</v>
      </c>
      <c r="C18" s="3">
        <f>MSFT!B5</f>
        <v>458.68</v>
      </c>
      <c r="D18" s="3">
        <f>NVDA!B5</f>
        <v>139.19</v>
      </c>
      <c r="E18" s="3">
        <f>TSLA!B5</f>
        <v>358.43</v>
      </c>
    </row>
    <row r="19" spans="2:5" x14ac:dyDescent="0.45">
      <c r="B19" s="4">
        <f>MSFT!A6</f>
        <v>45807</v>
      </c>
      <c r="C19" s="3">
        <f>MSFT!B6</f>
        <v>460.36</v>
      </c>
      <c r="D19" s="3">
        <f>NVDA!B6</f>
        <v>135.13</v>
      </c>
      <c r="E19" s="3">
        <f>TSLA!B6</f>
        <v>346.46</v>
      </c>
    </row>
    <row r="20" spans="2:5" x14ac:dyDescent="0.45">
      <c r="B20" s="4">
        <f>MSFT!A7</f>
        <v>45810</v>
      </c>
      <c r="C20" s="3">
        <f>MSFT!B7</f>
        <v>461.97</v>
      </c>
      <c r="D20" s="3">
        <f>NVDA!B7</f>
        <v>137.38</v>
      </c>
      <c r="E20" s="3">
        <f>TSLA!B7</f>
        <v>342.69</v>
      </c>
    </row>
    <row r="21" spans="2:5" x14ac:dyDescent="0.45">
      <c r="B21" s="4">
        <f>MSFT!A8</f>
        <v>45811</v>
      </c>
      <c r="C21" s="3">
        <f>MSFT!B8</f>
        <v>462.97</v>
      </c>
      <c r="D21" s="3">
        <f>NVDA!B8</f>
        <v>141.22</v>
      </c>
      <c r="E21" s="3">
        <f>TSLA!B8</f>
        <v>344.27</v>
      </c>
    </row>
    <row r="22" spans="2:5" x14ac:dyDescent="0.45">
      <c r="B22" s="4">
        <f>MSFT!A9</f>
        <v>45812</v>
      </c>
      <c r="C22" s="3">
        <f>MSFT!B9</f>
        <v>463.87</v>
      </c>
      <c r="D22" s="3">
        <f>NVDA!B9</f>
        <v>141.91999999999999</v>
      </c>
      <c r="E22" s="3">
        <f>TSLA!B9</f>
        <v>332.05</v>
      </c>
    </row>
    <row r="23" spans="2:5" x14ac:dyDescent="0.45">
      <c r="B23" s="4">
        <f>MSFT!A10</f>
        <v>45813</v>
      </c>
      <c r="C23" s="3">
        <f>MSFT!B10</f>
        <v>467.68</v>
      </c>
      <c r="D23" s="3">
        <f>NVDA!B10</f>
        <v>139.99</v>
      </c>
      <c r="E23" s="3">
        <f>TSLA!B10</f>
        <v>284.7</v>
      </c>
    </row>
    <row r="24" spans="2:5" x14ac:dyDescent="0.45">
      <c r="B24" s="4">
        <f>MSFT!A11</f>
        <v>45814</v>
      </c>
      <c r="C24" s="3">
        <f>MSFT!B11</f>
        <v>470.38</v>
      </c>
      <c r="D24" s="3">
        <f>NVDA!B11</f>
        <v>141.72</v>
      </c>
      <c r="E24" s="3">
        <f>TSLA!B11</f>
        <v>295.14</v>
      </c>
    </row>
    <row r="25" spans="2:5" x14ac:dyDescent="0.45">
      <c r="B25" s="4">
        <f>MSFT!A12</f>
        <v>45817</v>
      </c>
      <c r="C25" s="3">
        <f>MSFT!B12</f>
        <v>472.75</v>
      </c>
      <c r="D25" s="3">
        <f>NVDA!B12</f>
        <v>142.63</v>
      </c>
      <c r="E25" s="3">
        <f>TSLA!B12</f>
        <v>308.58</v>
      </c>
    </row>
    <row r="26" spans="2:5" x14ac:dyDescent="0.45">
      <c r="B26" s="4">
        <f>MSFT!A13</f>
        <v>45818</v>
      </c>
      <c r="C26" s="3">
        <f>MSFT!B13</f>
        <v>470.92</v>
      </c>
      <c r="D26" s="3">
        <f>NVDA!B13</f>
        <v>143.96</v>
      </c>
      <c r="E26" s="3">
        <f>TSLA!B13</f>
        <v>326.08999999999997</v>
      </c>
    </row>
    <row r="27" spans="2:5" x14ac:dyDescent="0.45">
      <c r="B27" s="4">
        <f>MSFT!A14</f>
        <v>45819</v>
      </c>
      <c r="C27" s="3">
        <f>MSFT!B14</f>
        <v>472.62</v>
      </c>
      <c r="D27" s="3">
        <f>NVDA!B14</f>
        <v>142.83000000000001</v>
      </c>
      <c r="E27" s="3">
        <f>TSLA!B14</f>
        <v>326.43</v>
      </c>
    </row>
    <row r="28" spans="2:5" x14ac:dyDescent="0.45">
      <c r="B28" s="4">
        <f>MSFT!A15</f>
        <v>45820</v>
      </c>
      <c r="C28" s="3">
        <f>MSFT!B15</f>
        <v>478.87</v>
      </c>
      <c r="D28" s="3">
        <f>NVDA!B15</f>
        <v>145</v>
      </c>
      <c r="E28" s="3">
        <f>TSLA!B15</f>
        <v>319.11</v>
      </c>
    </row>
    <row r="29" spans="2:5" x14ac:dyDescent="0.45">
      <c r="B29" s="4">
        <f>MSFT!A16</f>
        <v>45821</v>
      </c>
      <c r="C29" s="3">
        <f>MSFT!B16</f>
        <v>474.96</v>
      </c>
      <c r="D29" s="3">
        <f>NVDA!B16</f>
        <v>141.97</v>
      </c>
      <c r="E29" s="3">
        <f>TSLA!B16</f>
        <v>325.31</v>
      </c>
    </row>
    <row r="30" spans="2:5" x14ac:dyDescent="0.45">
      <c r="B30" s="4">
        <f>MSFT!A17</f>
        <v>45824</v>
      </c>
      <c r="C30" s="3">
        <f>MSFT!B17</f>
        <v>479.14</v>
      </c>
      <c r="D30" s="3">
        <f>NVDA!B17</f>
        <v>144.69</v>
      </c>
      <c r="E30" s="3">
        <f>TSLA!B17</f>
        <v>329.13</v>
      </c>
    </row>
    <row r="31" spans="2:5" x14ac:dyDescent="0.45">
      <c r="B31" s="4">
        <f>MSFT!A18</f>
        <v>45825</v>
      </c>
      <c r="C31" s="3">
        <f>MSFT!B18</f>
        <v>478.04</v>
      </c>
      <c r="D31" s="3">
        <f>NVDA!B18</f>
        <v>144.12</v>
      </c>
      <c r="E31" s="3">
        <f>TSLA!B18</f>
        <v>316.35000000000002</v>
      </c>
    </row>
    <row r="32" spans="2:5" x14ac:dyDescent="0.45">
      <c r="B32" s="4">
        <f>MSFT!A19</f>
        <v>45826</v>
      </c>
      <c r="C32" s="3">
        <f>MSFT!B19</f>
        <v>480.24</v>
      </c>
      <c r="D32" s="3">
        <f>NVDA!B19</f>
        <v>145.47999999999999</v>
      </c>
      <c r="E32" s="3">
        <f>TSLA!B19</f>
        <v>322.05</v>
      </c>
    </row>
    <row r="33" spans="2:5" x14ac:dyDescent="0.45">
      <c r="B33" s="4">
        <f>MSFT!A20</f>
        <v>45828</v>
      </c>
      <c r="C33" s="3">
        <f>MSFT!B20</f>
        <v>477.4</v>
      </c>
      <c r="D33" s="3">
        <f>NVDA!B20</f>
        <v>143.85</v>
      </c>
      <c r="E33" s="3">
        <f>TSLA!B20</f>
        <v>322.16000000000003</v>
      </c>
    </row>
    <row r="34" spans="2:5" x14ac:dyDescent="0.45">
      <c r="B34" s="4">
        <f>MSFT!A21</f>
        <v>45831</v>
      </c>
      <c r="C34" s="3">
        <f>MSFT!B21</f>
        <v>486</v>
      </c>
      <c r="D34" s="3">
        <f>NVDA!B21</f>
        <v>144.16999999999999</v>
      </c>
      <c r="E34" s="3">
        <f>TSLA!B21</f>
        <v>348.68</v>
      </c>
    </row>
    <row r="35" spans="2:5" x14ac:dyDescent="0.45">
      <c r="B35" s="4">
        <f>MSFT!A22</f>
        <v>45832</v>
      </c>
      <c r="C35" s="3">
        <f>MSFT!B22</f>
        <v>490.11</v>
      </c>
      <c r="D35" s="3">
        <f>NVDA!B22</f>
        <v>147.9</v>
      </c>
      <c r="E35" s="3">
        <f>TSLA!B22</f>
        <v>340.47</v>
      </c>
    </row>
    <row r="36" spans="2:5" x14ac:dyDescent="0.45">
      <c r="B36" s="4">
        <f>MSFT!A23</f>
        <v>45833</v>
      </c>
      <c r="C36" s="3">
        <f>MSFT!B23</f>
        <v>492.27</v>
      </c>
      <c r="D36" s="3">
        <f>NVDA!B23</f>
        <v>154.31</v>
      </c>
      <c r="E36" s="3">
        <f>TSLA!B23</f>
        <v>327.55</v>
      </c>
    </row>
    <row r="37" spans="2:5" x14ac:dyDescent="0.45">
      <c r="B37" s="4">
        <f>MSFT!A24</f>
        <v>45834</v>
      </c>
      <c r="C37" s="3">
        <f>MSFT!B24</f>
        <v>497.45</v>
      </c>
      <c r="D37" s="3">
        <f>NVDA!B24</f>
        <v>155.02000000000001</v>
      </c>
      <c r="E37" s="3">
        <f>TSLA!B24</f>
        <v>325.77999999999997</v>
      </c>
    </row>
    <row r="38" spans="2:5" x14ac:dyDescent="0.45">
      <c r="B38" s="4">
        <f>MSFT!A25</f>
        <v>45835</v>
      </c>
      <c r="C38" s="3">
        <f>MSFT!B25</f>
        <v>495.94</v>
      </c>
      <c r="D38" s="3">
        <f>NVDA!B25</f>
        <v>157.75</v>
      </c>
      <c r="E38" s="3">
        <f>TSLA!B25</f>
        <v>323.63</v>
      </c>
    </row>
    <row r="39" spans="2:5" x14ac:dyDescent="0.45">
      <c r="B39" s="4">
        <f>MSFT!A26</f>
        <v>45838</v>
      </c>
      <c r="C39" s="3">
        <f>MSFT!B26</f>
        <v>497.41</v>
      </c>
      <c r="D39" s="3">
        <f>NVDA!B26</f>
        <v>157.99</v>
      </c>
      <c r="E39" s="3">
        <f>TSLA!B26</f>
        <v>317.66000000000003</v>
      </c>
    </row>
    <row r="40" spans="2:5" x14ac:dyDescent="0.45">
      <c r="B40" s="4">
        <f>MSFT!A27</f>
        <v>45839</v>
      </c>
      <c r="C40" s="3">
        <f>MSFT!B27</f>
        <v>492.05</v>
      </c>
      <c r="D40" s="3">
        <f>NVDA!B27</f>
        <v>153.30000000000001</v>
      </c>
      <c r="E40" s="3">
        <f>TSLA!B27</f>
        <v>300.70999999999998</v>
      </c>
    </row>
    <row r="41" spans="2:5" x14ac:dyDescent="0.45">
      <c r="B41" s="4">
        <f>MSFT!A28</f>
        <v>45840</v>
      </c>
      <c r="C41" s="3">
        <f>MSFT!B28</f>
        <v>491.09</v>
      </c>
      <c r="D41" s="3">
        <f>NVDA!B28</f>
        <v>157.25</v>
      </c>
      <c r="E41" s="3">
        <f>TSLA!B28</f>
        <v>315.64999999999998</v>
      </c>
    </row>
    <row r="42" spans="2:5" x14ac:dyDescent="0.45">
      <c r="B42" s="4">
        <f>MSFT!A29</f>
        <v>45841</v>
      </c>
      <c r="C42" s="3">
        <f>MSFT!B29</f>
        <v>498.84</v>
      </c>
      <c r="D42" s="3">
        <f>NVDA!B29</f>
        <v>159.34</v>
      </c>
      <c r="E42" s="3">
        <f>TSLA!B29</f>
        <v>315.35000000000002</v>
      </c>
    </row>
    <row r="43" spans="2:5" x14ac:dyDescent="0.45">
      <c r="B43" s="4">
        <f>MSFT!A30</f>
        <v>45845</v>
      </c>
      <c r="C43" s="3">
        <f>MSFT!B30</f>
        <v>497.72</v>
      </c>
      <c r="D43" s="3">
        <f>NVDA!B30</f>
        <v>158.24</v>
      </c>
      <c r="E43" s="3">
        <f>TSLA!B30</f>
        <v>293.94</v>
      </c>
    </row>
    <row r="44" spans="2:5" x14ac:dyDescent="0.45">
      <c r="B44" s="4">
        <f>MSFT!A31</f>
        <v>45846</v>
      </c>
      <c r="C44" s="3">
        <f>MSFT!B31</f>
        <v>496.62</v>
      </c>
      <c r="D44" s="3">
        <f>NVDA!B31</f>
        <v>160</v>
      </c>
      <c r="E44" s="3">
        <f>TSLA!B31</f>
        <v>297.81</v>
      </c>
    </row>
    <row r="45" spans="2:5" x14ac:dyDescent="0.45">
      <c r="B45" s="4">
        <f>MSFT!A32</f>
        <v>45847</v>
      </c>
      <c r="C45" s="3">
        <f>MSFT!B32</f>
        <v>503.51</v>
      </c>
      <c r="D45" s="3">
        <f>NVDA!B32</f>
        <v>162.88</v>
      </c>
      <c r="E45" s="3">
        <f>TSLA!B32</f>
        <v>295.88</v>
      </c>
    </row>
    <row r="46" spans="2:5" x14ac:dyDescent="0.45">
      <c r="B46" s="4">
        <f>MSFT!A33</f>
        <v>45848</v>
      </c>
      <c r="C46" s="3">
        <f>MSFT!B33</f>
        <v>501.48</v>
      </c>
      <c r="D46" s="3">
        <f>NVDA!B33</f>
        <v>164.1</v>
      </c>
      <c r="E46" s="3">
        <f>TSLA!B33</f>
        <v>309.87</v>
      </c>
    </row>
    <row r="47" spans="2:5" x14ac:dyDescent="0.45">
      <c r="B47" s="4">
        <f>MSFT!A34</f>
        <v>45849</v>
      </c>
      <c r="C47" s="3">
        <f>MSFT!B34</f>
        <v>503.32</v>
      </c>
      <c r="D47" s="3">
        <f>NVDA!B34</f>
        <v>164.92</v>
      </c>
      <c r="E47" s="3">
        <f>TSLA!B34</f>
        <v>313.51</v>
      </c>
    </row>
    <row r="48" spans="2:5" x14ac:dyDescent="0.45">
      <c r="B48" s="4">
        <f>MSFT!A35</f>
        <v>45852</v>
      </c>
      <c r="C48" s="3">
        <f>MSFT!B35</f>
        <v>503.02</v>
      </c>
      <c r="D48" s="3">
        <f>NVDA!B35</f>
        <v>164.07</v>
      </c>
      <c r="E48" s="3">
        <f>TSLA!B35</f>
        <v>316.89999999999998</v>
      </c>
    </row>
    <row r="49" spans="2:5" x14ac:dyDescent="0.45">
      <c r="B49" s="4">
        <f>MSFT!A36</f>
        <v>45853</v>
      </c>
      <c r="C49" s="3">
        <f>MSFT!B36</f>
        <v>505.82</v>
      </c>
      <c r="D49" s="3">
        <f>NVDA!B36</f>
        <v>170.7</v>
      </c>
      <c r="E49" s="3">
        <f>TSLA!B36</f>
        <v>310.77999999999997</v>
      </c>
    </row>
    <row r="50" spans="2:5" x14ac:dyDescent="0.45">
      <c r="B50" s="4">
        <f>MSFT!A37</f>
        <v>45854</v>
      </c>
      <c r="C50" s="3">
        <f>MSFT!B37</f>
        <v>505.62</v>
      </c>
      <c r="D50" s="3">
        <f>NVDA!B37</f>
        <v>171.37</v>
      </c>
      <c r="E50" s="3">
        <f>TSLA!B37</f>
        <v>321.67</v>
      </c>
    </row>
    <row r="51" spans="2:5" x14ac:dyDescent="0.45">
      <c r="B51" s="4">
        <f>MSFT!A38</f>
        <v>45855</v>
      </c>
      <c r="C51" s="3">
        <f>MSFT!B38</f>
        <v>511.7</v>
      </c>
      <c r="D51" s="3">
        <f>NVDA!B38</f>
        <v>173</v>
      </c>
      <c r="E51" s="3">
        <f>TSLA!B38</f>
        <v>319.41000000000003</v>
      </c>
    </row>
    <row r="52" spans="2:5" x14ac:dyDescent="0.45">
      <c r="B52" s="4">
        <f>MSFT!A39</f>
        <v>45856</v>
      </c>
      <c r="C52" s="3">
        <f>MSFT!B39</f>
        <v>510.05</v>
      </c>
      <c r="D52" s="3">
        <f>NVDA!B39</f>
        <v>172.41</v>
      </c>
      <c r="E52" s="3">
        <f>TSLA!B39</f>
        <v>329.65</v>
      </c>
    </row>
    <row r="53" spans="2:5" x14ac:dyDescent="0.45">
      <c r="B53" s="4">
        <f>MSFT!A40</f>
        <v>45859</v>
      </c>
      <c r="C53" s="3">
        <f>MSFT!B40</f>
        <v>510.06</v>
      </c>
      <c r="D53" s="3">
        <f>NVDA!B40</f>
        <v>171.38</v>
      </c>
      <c r="E53" s="3">
        <f>TSLA!B40</f>
        <v>328.49</v>
      </c>
    </row>
    <row r="54" spans="2:5" x14ac:dyDescent="0.45">
      <c r="B54" s="4">
        <f>MSFT!A41</f>
        <v>45860</v>
      </c>
      <c r="C54" s="3">
        <f>MSFT!B41</f>
        <v>505.27</v>
      </c>
      <c r="D54" s="3">
        <f>NVDA!B41</f>
        <v>167.03</v>
      </c>
      <c r="E54" s="3">
        <f>TSLA!B41</f>
        <v>332.11</v>
      </c>
    </row>
    <row r="55" spans="2:5" x14ac:dyDescent="0.45">
      <c r="B55" s="4">
        <f>MSFT!A42</f>
        <v>45861</v>
      </c>
      <c r="C55" s="3">
        <f>MSFT!B42</f>
        <v>505.87</v>
      </c>
      <c r="D55" s="3">
        <f>NVDA!B42</f>
        <v>170.78</v>
      </c>
      <c r="E55" s="3">
        <f>TSLA!B42</f>
        <v>332.56</v>
      </c>
    </row>
    <row r="56" spans="2:5" x14ac:dyDescent="0.45">
      <c r="B56" s="4">
        <f>MSFT!A43</f>
        <v>45862</v>
      </c>
      <c r="C56" s="3">
        <f>MSFT!B43</f>
        <v>510.88</v>
      </c>
      <c r="D56" s="3">
        <f>NVDA!B43</f>
        <v>173.74</v>
      </c>
      <c r="E56" s="3">
        <f>TSLA!B43</f>
        <v>305.3</v>
      </c>
    </row>
    <row r="57" spans="2:5" x14ac:dyDescent="0.45">
      <c r="B57" s="4">
        <f>MSFT!A44</f>
        <v>45863</v>
      </c>
      <c r="C57" s="3">
        <f>MSFT!B44</f>
        <v>513.71</v>
      </c>
      <c r="D57" s="3">
        <f>NVDA!B44</f>
        <v>173.5</v>
      </c>
      <c r="E57" s="3">
        <f>TSLA!B44</f>
        <v>316.06</v>
      </c>
    </row>
    <row r="58" spans="2:5" x14ac:dyDescent="0.45">
      <c r="B58" s="4">
        <f>MSFT!A45</f>
        <v>45866</v>
      </c>
      <c r="C58" s="3">
        <f>MSFT!B45</f>
        <v>512.5</v>
      </c>
      <c r="D58" s="3">
        <f>NVDA!B45</f>
        <v>176.75</v>
      </c>
      <c r="E58" s="3">
        <f>TSLA!B45</f>
        <v>325.58999999999997</v>
      </c>
    </row>
    <row r="59" spans="2:5" x14ac:dyDescent="0.45">
      <c r="B59" s="4">
        <f>MSFT!A46</f>
        <v>45867</v>
      </c>
      <c r="C59" s="3">
        <f>MSFT!B46</f>
        <v>512.57000000000005</v>
      </c>
      <c r="D59" s="3">
        <f>NVDA!B46</f>
        <v>175.51</v>
      </c>
      <c r="E59" s="3">
        <f>TSLA!B46</f>
        <v>321.2</v>
      </c>
    </row>
    <row r="60" spans="2:5" x14ac:dyDescent="0.45">
      <c r="B60" s="4">
        <f>MSFT!A47</f>
        <v>45868</v>
      </c>
      <c r="C60" s="3">
        <f>MSFT!B47</f>
        <v>513.24</v>
      </c>
      <c r="D60" s="3">
        <f>NVDA!B47</f>
        <v>179.27</v>
      </c>
      <c r="E60" s="3">
        <f>TSLA!B47</f>
        <v>319.04000000000002</v>
      </c>
    </row>
    <row r="61" spans="2:5" x14ac:dyDescent="0.45">
      <c r="B61" s="4">
        <f>MSFT!A48</f>
        <v>45869</v>
      </c>
      <c r="C61" s="3">
        <f>MSFT!B48</f>
        <v>533.5</v>
      </c>
      <c r="D61" s="3">
        <f>NVDA!B48</f>
        <v>177.87</v>
      </c>
      <c r="E61" s="3">
        <f>TSLA!B48</f>
        <v>308.27</v>
      </c>
    </row>
    <row r="62" spans="2:5" x14ac:dyDescent="0.45">
      <c r="B62" s="4">
        <f>MSFT!A49</f>
        <v>45870</v>
      </c>
      <c r="C62" s="3">
        <f>MSFT!B49</f>
        <v>524.11</v>
      </c>
      <c r="D62" s="3">
        <f>NVDA!B49</f>
        <v>173.72</v>
      </c>
      <c r="E62" s="3">
        <f>TSLA!B49</f>
        <v>302.63</v>
      </c>
    </row>
    <row r="63" spans="2:5" x14ac:dyDescent="0.45">
      <c r="B63" s="4">
        <f>MSFT!A50</f>
        <v>45873</v>
      </c>
      <c r="C63" s="3">
        <f>MSFT!B50</f>
        <v>535.64</v>
      </c>
      <c r="D63" s="3">
        <f>NVDA!B50</f>
        <v>180</v>
      </c>
      <c r="E63" s="3">
        <f>TSLA!B50</f>
        <v>309.26</v>
      </c>
    </row>
    <row r="64" spans="2:5" x14ac:dyDescent="0.45">
      <c r="B64" s="4">
        <f>MSFT!A51</f>
        <v>45874</v>
      </c>
      <c r="C64" s="3">
        <f>MSFT!B51</f>
        <v>527.75</v>
      </c>
      <c r="D64" s="3">
        <f>NVDA!B51</f>
        <v>178.26</v>
      </c>
      <c r="E64" s="3">
        <f>TSLA!B51</f>
        <v>308.72000000000003</v>
      </c>
    </row>
    <row r="65" spans="2:5" x14ac:dyDescent="0.45">
      <c r="B65" s="4">
        <f>MSFT!A52</f>
        <v>45875</v>
      </c>
      <c r="C65" s="3">
        <f>MSFT!B52</f>
        <v>524.94000000000005</v>
      </c>
      <c r="D65" s="3">
        <f>NVDA!B52</f>
        <v>179.42</v>
      </c>
      <c r="E65" s="3">
        <f>TSLA!B52</f>
        <v>319.91000000000003</v>
      </c>
    </row>
    <row r="66" spans="2:5" x14ac:dyDescent="0.45">
      <c r="B66" s="4">
        <f>MSFT!A53</f>
        <v>45876</v>
      </c>
      <c r="C66" s="3">
        <f>MSFT!B53</f>
        <v>520.84</v>
      </c>
      <c r="D66" s="3">
        <f>NVDA!B53</f>
        <v>180.77</v>
      </c>
      <c r="E66" s="3">
        <f>TSLA!B53</f>
        <v>322.27</v>
      </c>
    </row>
    <row r="67" spans="2:5" x14ac:dyDescent="0.45">
      <c r="B67" s="4">
        <f>MSFT!A54</f>
        <v>45877</v>
      </c>
      <c r="C67" s="3">
        <f>MSFT!B54</f>
        <v>522.04</v>
      </c>
      <c r="D67" s="3">
        <f>NVDA!B54</f>
        <v>182.7</v>
      </c>
      <c r="E67" s="3">
        <f>TSLA!B54</f>
        <v>329.65</v>
      </c>
    </row>
    <row r="68" spans="2:5" x14ac:dyDescent="0.45">
      <c r="B68" s="4">
        <f>MSFT!A55</f>
        <v>45880</v>
      </c>
      <c r="C68" s="3">
        <f>MSFT!B55</f>
        <v>521.77</v>
      </c>
      <c r="D68" s="3">
        <f>NVDA!B55</f>
        <v>182.06</v>
      </c>
      <c r="E68" s="3">
        <f>TSLA!B55</f>
        <v>339.03</v>
      </c>
    </row>
    <row r="69" spans="2:5" x14ac:dyDescent="0.45">
      <c r="B69" s="4">
        <f>MSFT!A56</f>
        <v>45881</v>
      </c>
      <c r="C69" s="3">
        <f>MSFT!B56</f>
        <v>529.24</v>
      </c>
      <c r="D69" s="3">
        <f>NVDA!B56</f>
        <v>183.16</v>
      </c>
      <c r="E69" s="3">
        <f>TSLA!B56</f>
        <v>340.84</v>
      </c>
    </row>
    <row r="70" spans="2:5" x14ac:dyDescent="0.45">
      <c r="B70" s="4">
        <f>MSFT!A57</f>
        <v>45882</v>
      </c>
      <c r="C70" s="3">
        <f>MSFT!B57</f>
        <v>520.58000000000004</v>
      </c>
      <c r="D70" s="3">
        <f>NVDA!B57</f>
        <v>181.59</v>
      </c>
      <c r="E70" s="3">
        <f>TSLA!B57</f>
        <v>339.38</v>
      </c>
    </row>
    <row r="71" spans="2:5" x14ac:dyDescent="0.45">
      <c r="B71" s="4">
        <f>MSFT!A58</f>
        <v>45883</v>
      </c>
      <c r="C71" s="3">
        <f>MSFT!B58</f>
        <v>522.48</v>
      </c>
      <c r="D71" s="3">
        <f>NVDA!B58</f>
        <v>182.02</v>
      </c>
      <c r="E71" s="3">
        <f>TSLA!B58</f>
        <v>335.58</v>
      </c>
    </row>
    <row r="72" spans="2:5" x14ac:dyDescent="0.45">
      <c r="B72" s="4">
        <f>MSFT!A59</f>
        <v>45884</v>
      </c>
      <c r="C72" s="3">
        <f>MSFT!B59</f>
        <v>520.16999999999996</v>
      </c>
      <c r="D72" s="3">
        <f>NVDA!B59</f>
        <v>180.45</v>
      </c>
      <c r="E72" s="3">
        <f>TSLA!B59</f>
        <v>330.56</v>
      </c>
    </row>
    <row r="73" spans="2:5" x14ac:dyDescent="0.45">
      <c r="B73" s="4">
        <f>MSFT!A60</f>
        <v>45887</v>
      </c>
      <c r="C73" s="3">
        <f>MSFT!B60</f>
        <v>517.1</v>
      </c>
      <c r="D73" s="3">
        <f>NVDA!B60</f>
        <v>182.01</v>
      </c>
      <c r="E73" s="3">
        <f>TSLA!B60</f>
        <v>335.16</v>
      </c>
    </row>
    <row r="74" spans="2:5" x14ac:dyDescent="0.45">
      <c r="B74" s="4">
        <f>MSFT!A61</f>
        <v>45888</v>
      </c>
      <c r="C74" s="3">
        <f>MSFT!B61</f>
        <v>509.77</v>
      </c>
      <c r="D74" s="3">
        <f>NVDA!B61</f>
        <v>175.64</v>
      </c>
      <c r="E74" s="3">
        <f>TSLA!B61</f>
        <v>329.31</v>
      </c>
    </row>
    <row r="75" spans="2:5" x14ac:dyDescent="0.45">
      <c r="B75" s="4">
        <f>MSFT!A62</f>
        <v>45889</v>
      </c>
      <c r="C75" s="3">
        <f>MSFT!B62</f>
        <v>505.72</v>
      </c>
      <c r="D75" s="3">
        <f>NVDA!B62</f>
        <v>175.4</v>
      </c>
      <c r="E75" s="3">
        <f>TSLA!B62</f>
        <v>323.89999999999998</v>
      </c>
    </row>
    <row r="76" spans="2:5" x14ac:dyDescent="0.45">
      <c r="B76" s="4">
        <f>MSFT!A63</f>
        <v>45890</v>
      </c>
      <c r="C76" s="3">
        <f>MSFT!B63</f>
        <v>504.24</v>
      </c>
      <c r="D76" s="3">
        <f>NVDA!B63</f>
        <v>174.98</v>
      </c>
      <c r="E76" s="3">
        <f>TSLA!B63</f>
        <v>320.11</v>
      </c>
    </row>
    <row r="77" spans="2:5" x14ac:dyDescent="0.45">
      <c r="B77" s="4">
        <f>MSFT!A64</f>
        <v>45891</v>
      </c>
      <c r="C77" s="3">
        <f>MSFT!B64</f>
        <v>507.23</v>
      </c>
      <c r="D77" s="3">
        <f>NVDA!B64</f>
        <v>177.99</v>
      </c>
      <c r="E77" s="3">
        <f>TSLA!B64</f>
        <v>340.01</v>
      </c>
    </row>
    <row r="78" spans="2:5" x14ac:dyDescent="0.45">
      <c r="B78" s="4">
        <f>MSFT!A65</f>
        <v>45894</v>
      </c>
      <c r="C78" s="3">
        <f>MSFT!B65</f>
        <v>504.26</v>
      </c>
      <c r="D78" s="3">
        <f>NVDA!B65</f>
        <v>179.81</v>
      </c>
      <c r="E78" s="3">
        <f>TSLA!B65</f>
        <v>346.6</v>
      </c>
    </row>
    <row r="79" spans="2:5" x14ac:dyDescent="0.45">
      <c r="B79" s="4">
        <f>MSFT!A66</f>
        <v>45895</v>
      </c>
      <c r="C79" s="3">
        <f>MSFT!B66</f>
        <v>502.04</v>
      </c>
      <c r="D79" s="3">
        <f>NVDA!B66</f>
        <v>181.77</v>
      </c>
      <c r="E79" s="3">
        <f>TSLA!B66</f>
        <v>351.67</v>
      </c>
    </row>
    <row r="80" spans="2:5" x14ac:dyDescent="0.45">
      <c r="B80" s="4">
        <f>MSFT!A67</f>
        <v>45896</v>
      </c>
      <c r="C80" s="3">
        <f>MSFT!B67</f>
        <v>506.74</v>
      </c>
      <c r="D80" s="3">
        <f>NVDA!B67</f>
        <v>181.6</v>
      </c>
      <c r="E80" s="3">
        <f>TSLA!B67</f>
        <v>349.6</v>
      </c>
    </row>
    <row r="81" spans="2:5" x14ac:dyDescent="0.45">
      <c r="B81" s="4">
        <f>MSFT!A68</f>
        <v>45897</v>
      </c>
      <c r="C81" s="3">
        <f>MSFT!B68</f>
        <v>509.64</v>
      </c>
      <c r="D81" s="3">
        <f>NVDA!B68</f>
        <v>180.17</v>
      </c>
      <c r="E81" s="3">
        <f>TSLA!B68</f>
        <v>345.98</v>
      </c>
    </row>
    <row r="82" spans="2:5" x14ac:dyDescent="0.45">
      <c r="B82" s="4">
        <f>MSFT!A69</f>
        <v>45898</v>
      </c>
      <c r="C82" s="3">
        <f>MSFT!B69</f>
        <v>506.69</v>
      </c>
      <c r="D82" s="3">
        <f>NVDA!B69</f>
        <v>174.18</v>
      </c>
      <c r="E82" s="3">
        <f>TSLA!B69</f>
        <v>333.87</v>
      </c>
    </row>
    <row r="83" spans="2:5" x14ac:dyDescent="0.45">
      <c r="B83" s="4">
        <f>MSFT!A70</f>
        <v>45902</v>
      </c>
      <c r="C83" s="3">
        <f>MSFT!B70</f>
        <v>505.12</v>
      </c>
      <c r="D83" s="3">
        <f>NVDA!B70</f>
        <v>170.78</v>
      </c>
      <c r="E83" s="3">
        <f>TSLA!B70</f>
        <v>329.36</v>
      </c>
    </row>
    <row r="84" spans="2:5" x14ac:dyDescent="0.45">
      <c r="B84" s="4">
        <f>MSFT!A71</f>
        <v>45903</v>
      </c>
      <c r="C84" s="3">
        <f>MSFT!B71</f>
        <v>505.35</v>
      </c>
      <c r="D84" s="3">
        <f>NVDA!B71</f>
        <v>170.62</v>
      </c>
      <c r="E84" s="3">
        <f>TSLA!B71</f>
        <v>334.09</v>
      </c>
    </row>
    <row r="85" spans="2:5" x14ac:dyDescent="0.45">
      <c r="B85" s="4">
        <f>MSFT!A72</f>
        <v>45904</v>
      </c>
      <c r="C85" s="3">
        <f>MSFT!B72</f>
        <v>507.97</v>
      </c>
      <c r="D85" s="3">
        <f>NVDA!B72</f>
        <v>171.66</v>
      </c>
      <c r="E85" s="3">
        <f>TSLA!B72</f>
        <v>338.53</v>
      </c>
    </row>
    <row r="86" spans="2:5" x14ac:dyDescent="0.45">
      <c r="B86" s="4">
        <f>MSFT!A73</f>
        <v>45905</v>
      </c>
      <c r="C86" s="3">
        <f>MSFT!B73</f>
        <v>495</v>
      </c>
      <c r="D86" s="3">
        <f>NVDA!B73</f>
        <v>167.02</v>
      </c>
      <c r="E86" s="3">
        <f>TSLA!B73</f>
        <v>350.84</v>
      </c>
    </row>
    <row r="87" spans="2:5" x14ac:dyDescent="0.45">
      <c r="B87" s="4">
        <f>MSFT!A74</f>
        <v>45908</v>
      </c>
      <c r="C87" s="3">
        <f>MSFT!B74</f>
        <v>498.2</v>
      </c>
      <c r="D87" s="3">
        <f>NVDA!B74</f>
        <v>168.31</v>
      </c>
      <c r="E87" s="3">
        <f>TSLA!B74</f>
        <v>346.4</v>
      </c>
    </row>
    <row r="88" spans="2:5" x14ac:dyDescent="0.45">
      <c r="B88" s="4">
        <f>MSFT!A75</f>
        <v>45909</v>
      </c>
      <c r="C88" s="3">
        <f>MSFT!B75</f>
        <v>498.41</v>
      </c>
      <c r="D88" s="3">
        <f>NVDA!B75</f>
        <v>170.76</v>
      </c>
      <c r="E88" s="3">
        <f>TSLA!B75</f>
        <v>346.97</v>
      </c>
    </row>
    <row r="89" spans="2:5" x14ac:dyDescent="0.45">
      <c r="B89" s="4">
        <f>MSFT!A76</f>
        <v>45910</v>
      </c>
      <c r="C89" s="3">
        <f>MSFT!B76</f>
        <v>500.37</v>
      </c>
      <c r="D89" s="3">
        <f>NVDA!B76</f>
        <v>177.33</v>
      </c>
      <c r="E89" s="3">
        <f>TSLA!B76</f>
        <v>347.79</v>
      </c>
    </row>
    <row r="90" spans="2:5" x14ac:dyDescent="0.45">
      <c r="B90" s="4">
        <f>MSFT!A77</f>
        <v>45911</v>
      </c>
      <c r="C90" s="3">
        <f>MSFT!B77</f>
        <v>501.01</v>
      </c>
      <c r="D90" s="3">
        <f>NVDA!B77</f>
        <v>177.17</v>
      </c>
      <c r="E90" s="3">
        <f>TSLA!B77</f>
        <v>368.81</v>
      </c>
    </row>
    <row r="91" spans="2:5" x14ac:dyDescent="0.45">
      <c r="B91" s="4">
        <f>MSFT!A78</f>
        <v>45912</v>
      </c>
      <c r="C91" s="3">
        <f>MSFT!B78</f>
        <v>509.9</v>
      </c>
      <c r="D91" s="3">
        <f>NVDA!B78</f>
        <v>177.82</v>
      </c>
      <c r="E91" s="3">
        <f>TSLA!B78</f>
        <v>395.94</v>
      </c>
    </row>
    <row r="92" spans="2:5" x14ac:dyDescent="0.45">
      <c r="B92" s="4">
        <f>MSFT!A79</f>
        <v>45915</v>
      </c>
      <c r="C92" s="3">
        <f>MSFT!B79</f>
        <v>515.36</v>
      </c>
      <c r="D92" s="3">
        <f>NVDA!B79</f>
        <v>177.75</v>
      </c>
      <c r="E92" s="3">
        <f>TSLA!B79</f>
        <v>410.04</v>
      </c>
    </row>
    <row r="93" spans="2:5" x14ac:dyDescent="0.45">
      <c r="B93" s="4">
        <f>MSFT!A80</f>
        <v>45916</v>
      </c>
      <c r="C93" s="3">
        <f>MSFT!B80</f>
        <v>509.04</v>
      </c>
      <c r="D93" s="3">
        <f>NVDA!B80</f>
        <v>174.88</v>
      </c>
      <c r="E93" s="3">
        <f>TSLA!B80</f>
        <v>421.62</v>
      </c>
    </row>
    <row r="94" spans="2:5" x14ac:dyDescent="0.45">
      <c r="B94" s="4">
        <f>MSFT!A81</f>
        <v>45917</v>
      </c>
      <c r="C94" s="3">
        <f>MSFT!B81</f>
        <v>510.02</v>
      </c>
      <c r="D94" s="3">
        <f>NVDA!B81</f>
        <v>170.29</v>
      </c>
      <c r="E94" s="3">
        <f>TSLA!B81</f>
        <v>425.86</v>
      </c>
    </row>
    <row r="95" spans="2:5" x14ac:dyDescent="0.45">
      <c r="B95" s="4">
        <f>MSFT!A82</f>
        <v>45918</v>
      </c>
      <c r="C95" s="3">
        <f>MSFT!B82</f>
        <v>508.45</v>
      </c>
      <c r="D95" s="3">
        <f>NVDA!B82</f>
        <v>176.24</v>
      </c>
      <c r="E95" s="3">
        <f>TSLA!B82</f>
        <v>416.85</v>
      </c>
    </row>
    <row r="96" spans="2:5" x14ac:dyDescent="0.45">
      <c r="B96" s="4">
        <f>MSFT!A83</f>
        <v>45919</v>
      </c>
      <c r="C96" s="3">
        <f>MSFT!B83</f>
        <v>517.92999999999995</v>
      </c>
      <c r="D96" s="3">
        <f>NVDA!B83</f>
        <v>176.67</v>
      </c>
      <c r="E96" s="3">
        <f>TSLA!B83</f>
        <v>426.07</v>
      </c>
    </row>
    <row r="97" spans="2:5" x14ac:dyDescent="0.45">
      <c r="B97" s="4">
        <f>MSFT!A84</f>
        <v>45922</v>
      </c>
      <c r="C97" s="3">
        <f>MSFT!B84</f>
        <v>514.45000000000005</v>
      </c>
      <c r="D97" s="3">
        <f>NVDA!B84</f>
        <v>183.61</v>
      </c>
      <c r="E97" s="3">
        <f>TSLA!B84</f>
        <v>434.21</v>
      </c>
    </row>
    <row r="98" spans="2:5" x14ac:dyDescent="0.45">
      <c r="B98" s="4">
        <f>MSFT!A85</f>
        <v>45923</v>
      </c>
      <c r="C98" s="3">
        <f>MSFT!B85</f>
        <v>509.23</v>
      </c>
      <c r="D98" s="3">
        <f>NVDA!B85</f>
        <v>178.43</v>
      </c>
      <c r="E98" s="3">
        <f>TSLA!B85</f>
        <v>425.85</v>
      </c>
    </row>
    <row r="99" spans="2:5" x14ac:dyDescent="0.45">
      <c r="B99" s="4">
        <f>MSFT!A86</f>
        <v>45924</v>
      </c>
      <c r="C99" s="3">
        <f>MSFT!B86</f>
        <v>510.15</v>
      </c>
      <c r="D99" s="3">
        <f>NVDA!B86</f>
        <v>176.97</v>
      </c>
      <c r="E99" s="3">
        <f>TSLA!B86</f>
        <v>442.79</v>
      </c>
    </row>
    <row r="100" spans="2:5" x14ac:dyDescent="0.45">
      <c r="B100" s="4">
        <f>MSFT!A87</f>
        <v>45925</v>
      </c>
      <c r="C100" s="3">
        <f>MSFT!B87</f>
        <v>507.03</v>
      </c>
      <c r="D100" s="3">
        <f>NVDA!B87</f>
        <v>177.69</v>
      </c>
      <c r="E100" s="3">
        <f>TSLA!B87</f>
        <v>423.39</v>
      </c>
    </row>
    <row r="101" spans="2:5" x14ac:dyDescent="0.45">
      <c r="B101" s="4">
        <f>MSFT!A88</f>
        <v>45926</v>
      </c>
      <c r="C101" s="3">
        <f>MSFT!B88</f>
        <v>511.46</v>
      </c>
      <c r="D101" s="3">
        <f>NVDA!B88</f>
        <v>178.19</v>
      </c>
      <c r="E101" s="3">
        <f>TSLA!B88</f>
        <v>440.4</v>
      </c>
    </row>
    <row r="102" spans="2:5" x14ac:dyDescent="0.45">
      <c r="B102" s="4">
        <f>MSFT!A89</f>
        <v>45929</v>
      </c>
      <c r="C102" s="3">
        <f>MSFT!B89</f>
        <v>514.6</v>
      </c>
      <c r="D102" s="3">
        <f>NVDA!B89</f>
        <v>181.85</v>
      </c>
      <c r="E102" s="3">
        <f>TSLA!B89</f>
        <v>443.21</v>
      </c>
    </row>
    <row r="103" spans="2:5" x14ac:dyDescent="0.45">
      <c r="B103" s="4">
        <f>MSFT!A90</f>
        <v>45930</v>
      </c>
      <c r="C103" s="3">
        <f>MSFT!B90</f>
        <v>517.95000000000005</v>
      </c>
      <c r="D103" s="3">
        <f>NVDA!B90</f>
        <v>186.58</v>
      </c>
      <c r="E103" s="3">
        <f>TSLA!B90</f>
        <v>444.72</v>
      </c>
    </row>
    <row r="104" spans="2:5" x14ac:dyDescent="0.45">
      <c r="B104" s="4">
        <f>MSFT!A91</f>
        <v>45931</v>
      </c>
      <c r="C104" s="3">
        <f>MSFT!B91</f>
        <v>519.71</v>
      </c>
      <c r="D104" s="3">
        <f>NVDA!B91</f>
        <v>187.24</v>
      </c>
      <c r="E104" s="3">
        <f>TSLA!B91</f>
        <v>459.46</v>
      </c>
    </row>
    <row r="105" spans="2:5" x14ac:dyDescent="0.45">
      <c r="B105" s="4">
        <f>MSFT!A92</f>
        <v>45932</v>
      </c>
      <c r="C105" s="3">
        <f>MSFT!B92</f>
        <v>515.74</v>
      </c>
      <c r="D105" s="3">
        <f>NVDA!B92</f>
        <v>188.89</v>
      </c>
      <c r="E105" s="3">
        <f>TSLA!B92</f>
        <v>436</v>
      </c>
    </row>
    <row r="106" spans="2:5" x14ac:dyDescent="0.45">
      <c r="B106" s="4">
        <f>MSFT!A93</f>
        <v>45933</v>
      </c>
      <c r="C106" s="3">
        <f>MSFT!B93</f>
        <v>517.35</v>
      </c>
      <c r="D106" s="3">
        <f>NVDA!B93</f>
        <v>187.62</v>
      </c>
      <c r="E106" s="3">
        <f>TSLA!B93</f>
        <v>429.83</v>
      </c>
    </row>
    <row r="107" spans="2:5" x14ac:dyDescent="0.45">
      <c r="B107" s="4">
        <f>MSFT!A94</f>
        <v>45936</v>
      </c>
      <c r="C107" s="3">
        <f>MSFT!B94</f>
        <v>528.57000000000005</v>
      </c>
      <c r="D107" s="3">
        <f>NVDA!B94</f>
        <v>185.54</v>
      </c>
      <c r="E107" s="3">
        <f>TSLA!B94</f>
        <v>453.25</v>
      </c>
    </row>
    <row r="108" spans="2:5" x14ac:dyDescent="0.45">
      <c r="B108" s="4">
        <f>MSFT!A95</f>
        <v>45937</v>
      </c>
      <c r="C108" s="3">
        <f>MSFT!B95</f>
        <v>523.98</v>
      </c>
      <c r="D108" s="3">
        <f>NVDA!B95</f>
        <v>185.04</v>
      </c>
      <c r="E108" s="3">
        <f>TSLA!B95</f>
        <v>433.09</v>
      </c>
    </row>
    <row r="109" spans="2:5" x14ac:dyDescent="0.45">
      <c r="B109" s="4">
        <f>MSFT!A96</f>
        <v>45938</v>
      </c>
      <c r="C109" s="3">
        <f>MSFT!B96</f>
        <v>524.85</v>
      </c>
      <c r="D109" s="3">
        <f>NVDA!B96</f>
        <v>189.11</v>
      </c>
      <c r="E109" s="3">
        <f>TSLA!B96</f>
        <v>438.69</v>
      </c>
    </row>
    <row r="110" spans="2:5" x14ac:dyDescent="0.45">
      <c r="B110" s="4">
        <f>MSFT!A97</f>
        <v>45939</v>
      </c>
      <c r="C110" s="3">
        <f>MSFT!B97</f>
        <v>522.4</v>
      </c>
      <c r="D110" s="3">
        <f>NVDA!B97</f>
        <v>192.57</v>
      </c>
      <c r="E110" s="3">
        <f>TSLA!B97</f>
        <v>435.54</v>
      </c>
    </row>
    <row r="111" spans="2:5" x14ac:dyDescent="0.45">
      <c r="B111" s="4">
        <f>MSFT!A98</f>
        <v>45940</v>
      </c>
      <c r="C111" s="3">
        <f>MSFT!B98</f>
        <v>510.96</v>
      </c>
      <c r="D111" s="3">
        <f>NVDA!B98</f>
        <v>183.16</v>
      </c>
      <c r="E111" s="3">
        <f>TSLA!B98</f>
        <v>413.49</v>
      </c>
    </row>
    <row r="112" spans="2:5" x14ac:dyDescent="0.45">
      <c r="B112" s="4">
        <f>MSFT!A99</f>
        <v>45943</v>
      </c>
      <c r="C112" s="3">
        <f>MSFT!B99</f>
        <v>514.04999999999995</v>
      </c>
      <c r="D112" s="3">
        <f>NVDA!B99</f>
        <v>188.32</v>
      </c>
      <c r="E112" s="3">
        <f>TSLA!B99</f>
        <v>435.9</v>
      </c>
    </row>
    <row r="113" spans="2:5" x14ac:dyDescent="0.45">
      <c r="B113" s="4">
        <f>MSFT!A100</f>
        <v>45944</v>
      </c>
      <c r="C113" s="3">
        <f>MSFT!B100</f>
        <v>513.57000000000005</v>
      </c>
      <c r="D113" s="3">
        <f>NVDA!B100</f>
        <v>180.03</v>
      </c>
      <c r="E113" s="3">
        <f>TSLA!B100</f>
        <v>429.24</v>
      </c>
    </row>
    <row r="114" spans="2:5" x14ac:dyDescent="0.45">
      <c r="B114" s="4">
        <f>MSFT!A101</f>
        <v>45945</v>
      </c>
      <c r="C114" s="3">
        <f>MSFT!B101</f>
        <v>513.42999999999995</v>
      </c>
      <c r="D114" s="3">
        <f>NVDA!B101</f>
        <v>179.83</v>
      </c>
      <c r="E114" s="3">
        <f>TSLA!B101</f>
        <v>435.15</v>
      </c>
    </row>
    <row r="115" spans="2:5" x14ac:dyDescent="0.45">
      <c r="B115" s="4">
        <f>MSFT!A102</f>
        <v>45946</v>
      </c>
      <c r="C115" s="3">
        <f>MSFT!B102</f>
        <v>511.61</v>
      </c>
      <c r="D115" s="3">
        <f>NVDA!B102</f>
        <v>181.81</v>
      </c>
      <c r="E115" s="3">
        <f>TSLA!B102</f>
        <v>428.75</v>
      </c>
    </row>
    <row r="116" spans="2:5" x14ac:dyDescent="0.45">
      <c r="B116" s="4">
        <f>MSFT!A103</f>
        <v>45947</v>
      </c>
      <c r="C116" s="3">
        <f>MSFT!B103</f>
        <v>513.58000000000004</v>
      </c>
      <c r="D116" s="3">
        <f>NVDA!B103</f>
        <v>183.22</v>
      </c>
      <c r="E116" s="3">
        <f>TSLA!B103</f>
        <v>439.31</v>
      </c>
    </row>
    <row r="117" spans="2:5" x14ac:dyDescent="0.45">
      <c r="B117" s="4">
        <f>MSFT!A104</f>
        <v>45950</v>
      </c>
      <c r="C117" s="3">
        <f>MSFT!B104</f>
        <v>516.79</v>
      </c>
      <c r="D117" s="3">
        <f>NVDA!B104</f>
        <v>182.64</v>
      </c>
      <c r="E117" s="3">
        <f>TSLA!B104</f>
        <v>447.43</v>
      </c>
    </row>
    <row r="118" spans="2:5" x14ac:dyDescent="0.45">
      <c r="B118" s="4">
        <f>MSFT!A105</f>
        <v>45951</v>
      </c>
      <c r="C118" s="3">
        <f>MSFT!B105</f>
        <v>517.66</v>
      </c>
      <c r="D118" s="3">
        <f>NVDA!B105</f>
        <v>181.16</v>
      </c>
      <c r="E118" s="3">
        <f>TSLA!B105</f>
        <v>442.6</v>
      </c>
    </row>
    <row r="119" spans="2:5" x14ac:dyDescent="0.45">
      <c r="B119" s="4">
        <f>MSFT!A106</f>
        <v>45952</v>
      </c>
      <c r="C119" s="3">
        <f>MSFT!B106</f>
        <v>520.54</v>
      </c>
      <c r="D119" s="3">
        <f>NVDA!B106</f>
        <v>180.28</v>
      </c>
      <c r="E119" s="3">
        <f>TSLA!B106</f>
        <v>438.97</v>
      </c>
    </row>
    <row r="120" spans="2:5" x14ac:dyDescent="0.45">
      <c r="B120" s="4">
        <f>MSFT!A107</f>
        <v>45953</v>
      </c>
      <c r="C120" s="3">
        <f>MSFT!B107</f>
        <v>520.55999999999995</v>
      </c>
      <c r="D120" s="3">
        <f>NVDA!B107</f>
        <v>182.16</v>
      </c>
      <c r="E120" s="3">
        <f>TSLA!B107</f>
        <v>448.98</v>
      </c>
    </row>
    <row r="121" spans="2:5" x14ac:dyDescent="0.45">
      <c r="B121" s="4">
        <f>MSFT!A108</f>
        <v>45954</v>
      </c>
      <c r="C121" s="3">
        <f>MSFT!B108</f>
        <v>523.61</v>
      </c>
      <c r="D121" s="3">
        <f>NVDA!B108</f>
        <v>186.26</v>
      </c>
      <c r="E121" s="3">
        <f>TSLA!B108</f>
        <v>433.72</v>
      </c>
    </row>
    <row r="122" spans="2:5" x14ac:dyDescent="0.45">
      <c r="B122" s="4">
        <f>MSFT!A109</f>
        <v>45957</v>
      </c>
      <c r="C122" s="3">
        <f>MSFT!B109</f>
        <v>531.52</v>
      </c>
      <c r="D122" s="3">
        <f>NVDA!B109</f>
        <v>191.49</v>
      </c>
      <c r="E122" s="3">
        <f>TSLA!B109</f>
        <v>452.42</v>
      </c>
    </row>
    <row r="123" spans="2:5" x14ac:dyDescent="0.45">
      <c r="B123" s="4">
        <f>MSFT!A110</f>
        <v>45958</v>
      </c>
      <c r="C123" s="3">
        <f>MSFT!B110</f>
        <v>542.07000000000005</v>
      </c>
      <c r="D123" s="3">
        <f>NVDA!B110</f>
        <v>201.03</v>
      </c>
      <c r="E123" s="3">
        <f>TSLA!B110</f>
        <v>460.55</v>
      </c>
    </row>
    <row r="124" spans="2:5" x14ac:dyDescent="0.45">
      <c r="B124" s="4">
        <f>MSFT!A111</f>
        <v>45959</v>
      </c>
      <c r="C124" s="3">
        <f>MSFT!B111</f>
        <v>541.54999999999995</v>
      </c>
      <c r="D124" s="3">
        <f>NVDA!B111</f>
        <v>207.04</v>
      </c>
      <c r="E124" s="3">
        <f>TSLA!B111</f>
        <v>461.51</v>
      </c>
    </row>
    <row r="125" spans="2:5" x14ac:dyDescent="0.45">
      <c r="B125" s="4">
        <f>MSFT!A112</f>
        <v>45960</v>
      </c>
      <c r="C125" s="3">
        <f>MSFT!B112</f>
        <v>525.76</v>
      </c>
      <c r="D125" s="3">
        <f>NVDA!B112</f>
        <v>202.89</v>
      </c>
      <c r="E125" s="3">
        <f>TSLA!B112</f>
        <v>440.1</v>
      </c>
    </row>
    <row r="126" spans="2:5" x14ac:dyDescent="0.45">
      <c r="B126" s="4">
        <f>MSFT!A113</f>
        <v>45961</v>
      </c>
      <c r="C126" s="3">
        <f>MSFT!B113</f>
        <v>517.80999999999995</v>
      </c>
      <c r="D126" s="3">
        <f>NVDA!B113</f>
        <v>202.49</v>
      </c>
      <c r="E126" s="3">
        <f>TSLA!B113</f>
        <v>456.56</v>
      </c>
    </row>
    <row r="127" spans="2:5" x14ac:dyDescent="0.45">
      <c r="B127" s="4">
        <f>MSFT!A114</f>
        <v>45964</v>
      </c>
      <c r="C127" s="3">
        <f>MSFT!B114</f>
        <v>517.03</v>
      </c>
      <c r="D127" s="3">
        <f>NVDA!B114</f>
        <v>206.88</v>
      </c>
      <c r="E127" s="3">
        <f>TSLA!B114</f>
        <v>468.37</v>
      </c>
    </row>
    <row r="128" spans="2:5" x14ac:dyDescent="0.45">
      <c r="B128" s="4">
        <f>MSFT!A115</f>
        <v>45965</v>
      </c>
      <c r="C128" s="3">
        <f>MSFT!B115</f>
        <v>514.33000000000004</v>
      </c>
      <c r="D128" s="3">
        <f>NVDA!B115</f>
        <v>198.69</v>
      </c>
      <c r="E128" s="3">
        <f>TSLA!B115</f>
        <v>444.26</v>
      </c>
    </row>
    <row r="129" spans="2:5" x14ac:dyDescent="0.45">
      <c r="B129" s="4">
        <f>MSFT!A116</f>
        <v>45966</v>
      </c>
      <c r="C129" s="3">
        <f>MSFT!B116</f>
        <v>507.16</v>
      </c>
      <c r="D129" s="3">
        <f>NVDA!B116</f>
        <v>195.21</v>
      </c>
      <c r="E129" s="3">
        <f>TSLA!B116</f>
        <v>462.07</v>
      </c>
    </row>
    <row r="130" spans="2:5" x14ac:dyDescent="0.45">
      <c r="B130" s="4">
        <f>MSFT!A117</f>
        <v>45967</v>
      </c>
      <c r="C130" s="3">
        <f>MSFT!B117</f>
        <v>497.1</v>
      </c>
      <c r="D130" s="3">
        <f>NVDA!B117</f>
        <v>188.08</v>
      </c>
      <c r="E130" s="3">
        <f>TSLA!B117</f>
        <v>445.91</v>
      </c>
    </row>
    <row r="131" spans="2:5" x14ac:dyDescent="0.45">
      <c r="B131" s="4">
        <f>MSFT!A118</f>
        <v>45968</v>
      </c>
      <c r="C131" s="3">
        <f>MSFT!B118</f>
        <v>496.82</v>
      </c>
      <c r="D131" s="3">
        <f>NVDA!B118</f>
        <v>188.15</v>
      </c>
      <c r="E131" s="3">
        <f>TSLA!B118</f>
        <v>429.52</v>
      </c>
    </row>
    <row r="132" spans="2:5" x14ac:dyDescent="0.45">
      <c r="B132" s="4">
        <f>MSFT!A119</f>
        <v>45971</v>
      </c>
      <c r="C132" s="3">
        <f>MSFT!B119</f>
        <v>506</v>
      </c>
      <c r="D132" s="3">
        <f>NVDA!B119</f>
        <v>199.05</v>
      </c>
      <c r="E132" s="3">
        <f>TSLA!B119</f>
        <v>445.23</v>
      </c>
    </row>
    <row r="133" spans="2:5" x14ac:dyDescent="0.45">
      <c r="B133" s="4">
        <f>MSFT!A120</f>
        <v>45972</v>
      </c>
      <c r="C133" s="3">
        <f>MSFT!B120</f>
        <v>508.68</v>
      </c>
      <c r="D133" s="3">
        <f>NVDA!B120</f>
        <v>193.16</v>
      </c>
      <c r="E133" s="3">
        <f>TSLA!B120</f>
        <v>439.62</v>
      </c>
    </row>
    <row r="134" spans="2:5" x14ac:dyDescent="0.45">
      <c r="B134" s="4">
        <f>MSFT!A121</f>
        <v>45973</v>
      </c>
      <c r="C134" s="3">
        <f>MSFT!B121</f>
        <v>511.14</v>
      </c>
      <c r="D134" s="3">
        <f>NVDA!B121</f>
        <v>193.8</v>
      </c>
      <c r="E134" s="3">
        <f>TSLA!B121</f>
        <v>430.6</v>
      </c>
    </row>
    <row r="135" spans="2:5" x14ac:dyDescent="0.45">
      <c r="B135" s="4">
        <f>MSFT!A122</f>
        <v>45974</v>
      </c>
      <c r="C135" s="3">
        <f>MSFT!B122</f>
        <v>503.29</v>
      </c>
      <c r="D135" s="3">
        <f>NVDA!B122</f>
        <v>186.86</v>
      </c>
      <c r="E135" s="3">
        <f>TSLA!B122</f>
        <v>401.99</v>
      </c>
    </row>
    <row r="136" spans="2:5" x14ac:dyDescent="0.45">
      <c r="B136" s="4">
        <f>MSFT!A123</f>
        <v>45975</v>
      </c>
      <c r="C136" s="3">
        <f>MSFT!B123</f>
        <v>510.18</v>
      </c>
      <c r="D136" s="3">
        <f>NVDA!B123</f>
        <v>190.17</v>
      </c>
      <c r="E136" s="3">
        <f>TSLA!B123</f>
        <v>404.35</v>
      </c>
    </row>
    <row r="137" spans="2:5" x14ac:dyDescent="0.45">
      <c r="B137" s="4">
        <f>MSFT!A124</f>
        <v>45978</v>
      </c>
      <c r="C137" s="3">
        <f>MSFT!B124</f>
        <v>507.49</v>
      </c>
      <c r="D137" s="3">
        <f>NVDA!B124</f>
        <v>186.6</v>
      </c>
      <c r="E137" s="3">
        <f>TSLA!B124</f>
        <v>408.92</v>
      </c>
    </row>
    <row r="138" spans="2:5" x14ac:dyDescent="0.45">
      <c r="B138" s="4">
        <f>MSFT!A125</f>
        <v>45979</v>
      </c>
      <c r="C138" s="3">
        <f>MSFT!B125</f>
        <v>493.79</v>
      </c>
      <c r="D138" s="3">
        <f>NVDA!B125</f>
        <v>181.36</v>
      </c>
      <c r="E138" s="3">
        <f>TSLA!B125</f>
        <v>401.25</v>
      </c>
    </row>
    <row r="139" spans="2:5" x14ac:dyDescent="0.45">
      <c r="B139" s="4">
        <f>MSFT!A126</f>
        <v>45980</v>
      </c>
      <c r="C139" s="3">
        <f>MSFT!B126</f>
        <v>487.12</v>
      </c>
      <c r="D139" s="3">
        <f>NVDA!B126</f>
        <v>186.52</v>
      </c>
      <c r="E139" s="3">
        <f>TSLA!B126</f>
        <v>403.99</v>
      </c>
    </row>
    <row r="140" spans="2:5" x14ac:dyDescent="0.45">
      <c r="B140" s="4">
        <f>MSFT!A127</f>
        <v>45981</v>
      </c>
      <c r="C140" s="3">
        <f>MSFT!B127</f>
        <v>478.43</v>
      </c>
      <c r="D140" s="3">
        <f>NVDA!B127</f>
        <v>180.64</v>
      </c>
      <c r="E140" s="3">
        <f>TSLA!B127</f>
        <v>395.23</v>
      </c>
    </row>
    <row r="141" spans="2:5" x14ac:dyDescent="0.45">
      <c r="B141" s="4">
        <f>MSFT!A128</f>
        <v>45982</v>
      </c>
      <c r="C141" s="3">
        <f>MSFT!B128</f>
        <v>472.12</v>
      </c>
      <c r="D141" s="3">
        <f>NVDA!B128</f>
        <v>178.88</v>
      </c>
      <c r="E141" s="3">
        <f>TSLA!B128</f>
        <v>391.09</v>
      </c>
    </row>
    <row r="142" spans="2:5" x14ac:dyDescent="0.45">
      <c r="B142" s="4">
        <f>MSFT!A129</f>
        <v>45985</v>
      </c>
      <c r="C142" s="3">
        <f>MSFT!B129</f>
        <v>474</v>
      </c>
      <c r="D142" s="3">
        <f>NVDA!B129</f>
        <v>182.55</v>
      </c>
      <c r="E142" s="3">
        <f>TSLA!B129</f>
        <v>417.78</v>
      </c>
    </row>
    <row r="143" spans="2:5" x14ac:dyDescent="0.45">
      <c r="B143" s="4">
        <f>MSFT!A130</f>
        <v>45986</v>
      </c>
      <c r="C143" s="3">
        <f>MSFT!B130</f>
        <v>476.99</v>
      </c>
      <c r="D143" s="3">
        <f>NVDA!B130</f>
        <v>177.82</v>
      </c>
      <c r="E143" s="3">
        <f>TSLA!B130</f>
        <v>419.4</v>
      </c>
    </row>
    <row r="144" spans="2:5" x14ac:dyDescent="0.45">
      <c r="B144" s="4">
        <f>MSFT!A131</f>
        <v>45987</v>
      </c>
      <c r="C144" s="3">
        <f>MSFT!B131</f>
        <v>485.5</v>
      </c>
      <c r="D144" s="3">
        <f>NVDA!B131</f>
        <v>180.26</v>
      </c>
      <c r="E144" s="3">
        <f>TSLA!B131</f>
        <v>426.58</v>
      </c>
    </row>
    <row r="145" spans="2:5" x14ac:dyDescent="0.45">
      <c r="B145" s="4">
        <f>MSFT!A132</f>
        <v>45989</v>
      </c>
      <c r="C145" s="3">
        <f>MSFT!B132</f>
        <v>492.01</v>
      </c>
      <c r="D145" s="3">
        <f>NVDA!B132</f>
        <v>177</v>
      </c>
      <c r="E145" s="3">
        <f>TSLA!B132</f>
        <v>430.17</v>
      </c>
    </row>
    <row r="146" spans="2:5" x14ac:dyDescent="0.45">
      <c r="B146" s="4">
        <f>MSFT!A133</f>
        <v>45992</v>
      </c>
      <c r="C146" s="3">
        <f>MSFT!B133</f>
        <v>486.74</v>
      </c>
      <c r="D146" s="3">
        <f>NVDA!B133</f>
        <v>179.92</v>
      </c>
      <c r="E146" s="3">
        <f>TSLA!B133</f>
        <v>430.14</v>
      </c>
    </row>
    <row r="147" spans="2:5" x14ac:dyDescent="0.45">
      <c r="B147" s="4">
        <f>MSFT!A134</f>
        <v>45993</v>
      </c>
      <c r="C147" s="3">
        <f>MSFT!B134</f>
        <v>490</v>
      </c>
      <c r="D147" s="3">
        <f>NVDA!B134</f>
        <v>181.46</v>
      </c>
      <c r="E147" s="3">
        <f>TSLA!B134</f>
        <v>429.24</v>
      </c>
    </row>
    <row r="148" spans="2:5" x14ac:dyDescent="0.45">
      <c r="B148" s="4">
        <f>MSFT!A135</f>
        <v>45994</v>
      </c>
      <c r="C148" s="3">
        <f>MSFT!B135</f>
        <v>477.73</v>
      </c>
      <c r="D148" s="3">
        <f>NVDA!B135</f>
        <v>179.59</v>
      </c>
      <c r="E148" s="3">
        <f>TSLA!B135</f>
        <v>446.74</v>
      </c>
    </row>
    <row r="149" spans="2:5" x14ac:dyDescent="0.45">
      <c r="B149" s="4">
        <f>MSFT!A136</f>
        <v>45995</v>
      </c>
      <c r="C149" s="3">
        <f>MSFT!B136</f>
        <v>480.84</v>
      </c>
      <c r="D149" s="3">
        <f>NVDA!B136</f>
        <v>183.38</v>
      </c>
      <c r="E149" s="3">
        <f>TSLA!B136</f>
        <v>454.53</v>
      </c>
    </row>
    <row r="150" spans="2:5" x14ac:dyDescent="0.45">
      <c r="B150" s="4">
        <f>MSFT!A137</f>
        <v>45996</v>
      </c>
      <c r="C150" s="3">
        <f>MSFT!B137</f>
        <v>483.16</v>
      </c>
      <c r="D150" s="3">
        <f>NVDA!B137</f>
        <v>182.41</v>
      </c>
      <c r="E150" s="3">
        <f>TSLA!B137</f>
        <v>455</v>
      </c>
    </row>
    <row r="151" spans="2:5" x14ac:dyDescent="0.45">
      <c r="B151" s="4">
        <f>MSFT!A138</f>
        <v>45999</v>
      </c>
      <c r="C151" s="3">
        <f>MSFT!B138</f>
        <v>491.02</v>
      </c>
      <c r="D151" s="3">
        <f>NVDA!B138</f>
        <v>185.55</v>
      </c>
      <c r="E151" s="3">
        <f>TSLA!B138</f>
        <v>439.58</v>
      </c>
    </row>
    <row r="152" spans="2:5" x14ac:dyDescent="0.45">
      <c r="B152" s="4">
        <f>MSFT!A139</f>
        <v>46000</v>
      </c>
      <c r="C152" s="3">
        <f>MSFT!B139</f>
        <v>492.02</v>
      </c>
      <c r="D152" s="3">
        <f>NVDA!B139</f>
        <v>184.97</v>
      </c>
      <c r="E152" s="3">
        <f>TSLA!B139</f>
        <v>445.17</v>
      </c>
    </row>
    <row r="153" spans="2:5" x14ac:dyDescent="0.45">
      <c r="B153" s="4">
        <f>MSFT!A140</f>
        <v>46001</v>
      </c>
      <c r="C153" s="3">
        <f>MSFT!B140</f>
        <v>478.56</v>
      </c>
      <c r="D153" s="3">
        <f>NVDA!B140</f>
        <v>183.78</v>
      </c>
      <c r="E153" s="3">
        <f>TSLA!B140</f>
        <v>451.45</v>
      </c>
    </row>
    <row r="154" spans="2:5" x14ac:dyDescent="0.45">
      <c r="B154" s="4">
        <f>MSFT!A141</f>
        <v>46002</v>
      </c>
      <c r="C154" s="3">
        <f>MSFT!B141</f>
        <v>483.47</v>
      </c>
      <c r="D154" s="3">
        <f>NVDA!B141</f>
        <v>180.93</v>
      </c>
      <c r="E154" s="3">
        <f>TSLA!B141</f>
        <v>446.89</v>
      </c>
    </row>
    <row r="155" spans="2:5" x14ac:dyDescent="0.45">
      <c r="B155" s="4">
        <f>MSFT!A142</f>
        <v>46003</v>
      </c>
      <c r="C155" s="3">
        <f>MSFT!B142</f>
        <v>478.53</v>
      </c>
      <c r="D155" s="3">
        <f>NVDA!B142</f>
        <v>175.02</v>
      </c>
      <c r="E155" s="3">
        <f>TSLA!B142</f>
        <v>458.96</v>
      </c>
    </row>
    <row r="156" spans="2:5" x14ac:dyDescent="0.45">
      <c r="B156" s="4">
        <f>MSFT!A143</f>
        <v>46006</v>
      </c>
      <c r="C156" s="3">
        <f>MSFT!B143</f>
        <v>474.82</v>
      </c>
      <c r="D156" s="3">
        <f>NVDA!B143</f>
        <v>176.29</v>
      </c>
      <c r="E156" s="3">
        <f>TSLA!B143</f>
        <v>475.31</v>
      </c>
    </row>
    <row r="157" spans="2:5" x14ac:dyDescent="0.45">
      <c r="B157" s="4">
        <f>MSFT!A144</f>
        <v>46007</v>
      </c>
      <c r="C157" s="3">
        <f>MSFT!B144</f>
        <v>476.39</v>
      </c>
      <c r="D157" s="3">
        <f>NVDA!B144</f>
        <v>177.72</v>
      </c>
      <c r="E157" s="3">
        <f>TSLA!B144</f>
        <v>489.88</v>
      </c>
    </row>
    <row r="158" spans="2:5" x14ac:dyDescent="0.45">
      <c r="B158" s="4">
        <f>MSFT!A145</f>
        <v>46008</v>
      </c>
      <c r="C158" s="3">
        <f>MSFT!B145</f>
        <v>476.12</v>
      </c>
      <c r="D158" s="3">
        <f>NVDA!B145</f>
        <v>170.94</v>
      </c>
      <c r="E158" s="3">
        <f>TSLA!B145</f>
        <v>467.26</v>
      </c>
    </row>
    <row r="159" spans="2:5" x14ac:dyDescent="0.45">
      <c r="B159" s="4">
        <f>MSFT!A146</f>
        <v>46009</v>
      </c>
      <c r="C159" s="3">
        <f>MSFT!B146</f>
        <v>483.98</v>
      </c>
      <c r="D159" s="3">
        <f>NVDA!B146</f>
        <v>174.14</v>
      </c>
      <c r="E159" s="3">
        <f>TSLA!B146</f>
        <v>483.37</v>
      </c>
    </row>
    <row r="160" spans="2:5" x14ac:dyDescent="0.45">
      <c r="B160" s="4">
        <f>MSFT!A147</f>
        <v>46010</v>
      </c>
      <c r="C160" s="3">
        <f>MSFT!B147</f>
        <v>485.92</v>
      </c>
      <c r="D160" s="3">
        <f>NVDA!B147</f>
        <v>180.99</v>
      </c>
      <c r="E160" s="3">
        <f>TSLA!B147</f>
        <v>481.2</v>
      </c>
    </row>
    <row r="161" spans="2:5" x14ac:dyDescent="0.45">
      <c r="B161" s="4">
        <f>MSFT!A148</f>
        <v>46013</v>
      </c>
      <c r="C161" s="3">
        <f>MSFT!B148</f>
        <v>484.92</v>
      </c>
      <c r="D161" s="3">
        <f>NVDA!B148</f>
        <v>183.69</v>
      </c>
      <c r="E161" s="3">
        <f>TSLA!B148</f>
        <v>488.73</v>
      </c>
    </row>
    <row r="162" spans="2:5" x14ac:dyDescent="0.45">
      <c r="B162" s="4">
        <f>MSFT!A149</f>
        <v>46014</v>
      </c>
      <c r="C162" s="3">
        <f>MSFT!B149</f>
        <v>486.85</v>
      </c>
      <c r="D162" s="3">
        <f>NVDA!B149</f>
        <v>189.21</v>
      </c>
      <c r="E162" s="3">
        <f>TSLA!B149</f>
        <v>485.56</v>
      </c>
    </row>
    <row r="163" spans="2:5" x14ac:dyDescent="0.45">
      <c r="B163" s="4">
        <f>MSFT!A150</f>
        <v>46015</v>
      </c>
      <c r="C163" s="3">
        <f>MSFT!B150</f>
        <v>488.02</v>
      </c>
      <c r="D163" s="3">
        <f>NVDA!B150</f>
        <v>188.61</v>
      </c>
      <c r="E163" s="3">
        <f>TSLA!B150</f>
        <v>485.4</v>
      </c>
    </row>
    <row r="164" spans="2:5" x14ac:dyDescent="0.45">
      <c r="B164" s="4">
        <f>MSFT!A151</f>
        <v>46017</v>
      </c>
      <c r="C164" s="3">
        <f>MSFT!B151</f>
        <v>487.71</v>
      </c>
      <c r="D164" s="3">
        <f>NVDA!B151</f>
        <v>190.53</v>
      </c>
      <c r="E164" s="3">
        <f>TSLA!B151</f>
        <v>475.19</v>
      </c>
    </row>
    <row r="165" spans="2:5" x14ac:dyDescent="0.45">
      <c r="B165" s="4">
        <f>MSFT!A152</f>
        <v>46020</v>
      </c>
      <c r="C165" s="3">
        <f>MSFT!B152</f>
        <v>487.1</v>
      </c>
      <c r="D165" s="3">
        <f>NVDA!B152</f>
        <v>188.22</v>
      </c>
      <c r="E165" s="3">
        <f>TSLA!B152</f>
        <v>459.64</v>
      </c>
    </row>
    <row r="166" spans="2:5" x14ac:dyDescent="0.45">
      <c r="B166" s="4">
        <f>MSFT!A153</f>
        <v>46021</v>
      </c>
      <c r="C166" s="3">
        <f>MSFT!B153</f>
        <v>487.48</v>
      </c>
      <c r="D166" s="3">
        <f>NVDA!B153</f>
        <v>187.54</v>
      </c>
      <c r="E166" s="3">
        <f>TSLA!B153</f>
        <v>454.43</v>
      </c>
    </row>
    <row r="167" spans="2:5" x14ac:dyDescent="0.45">
      <c r="B167" s="4">
        <f>MSFT!A154</f>
        <v>46022</v>
      </c>
      <c r="C167" s="3">
        <f>MSFT!B154</f>
        <v>483.62</v>
      </c>
      <c r="D167" s="3">
        <f>NVDA!B154</f>
        <v>186.5</v>
      </c>
      <c r="E167" s="3">
        <f>TSLA!B154</f>
        <v>449.72</v>
      </c>
    </row>
    <row r="168" spans="2:5" x14ac:dyDescent="0.45">
      <c r="B168" s="4">
        <f>MSFT!A155</f>
        <v>46024</v>
      </c>
      <c r="C168" s="3">
        <f>MSFT!B155</f>
        <v>472.94</v>
      </c>
      <c r="D168" s="3">
        <f>NVDA!B155</f>
        <v>188.85</v>
      </c>
      <c r="E168" s="3">
        <f>TSLA!B155</f>
        <v>438.07</v>
      </c>
    </row>
    <row r="169" spans="2:5" x14ac:dyDescent="0.45">
      <c r="B169" s="4">
        <f>MSFT!A156</f>
        <v>46027</v>
      </c>
      <c r="C169" s="3">
        <f>MSFT!B156</f>
        <v>472.85</v>
      </c>
      <c r="D169" s="3">
        <f>NVDA!B156</f>
        <v>188.12</v>
      </c>
      <c r="E169" s="3">
        <f>TSLA!B156</f>
        <v>451.67</v>
      </c>
    </row>
    <row r="170" spans="2:5" x14ac:dyDescent="0.45">
      <c r="B170" s="4">
        <f>MSFT!A157</f>
        <v>46028</v>
      </c>
      <c r="C170" s="3">
        <f>MSFT!B157</f>
        <v>478.51</v>
      </c>
      <c r="D170" s="3">
        <f>NVDA!B157</f>
        <v>187.24</v>
      </c>
      <c r="E170" s="3">
        <f>TSLA!B157</f>
        <v>432.96</v>
      </c>
    </row>
    <row r="171" spans="2:5" x14ac:dyDescent="0.45">
      <c r="B171" s="4">
        <f>MSFT!A158</f>
        <v>46029</v>
      </c>
      <c r="C171" s="3">
        <f>MSFT!B158</f>
        <v>483.47</v>
      </c>
      <c r="D171" s="3">
        <f>NVDA!B158</f>
        <v>189.11</v>
      </c>
      <c r="E171" s="3">
        <f>TSLA!B158</f>
        <v>431.41</v>
      </c>
    </row>
    <row r="172" spans="2:5" x14ac:dyDescent="0.45">
      <c r="B172" s="4">
        <f>MSFT!A159</f>
        <v>46030</v>
      </c>
      <c r="C172" s="3">
        <f>MSFT!B159</f>
        <v>478.11</v>
      </c>
      <c r="D172" s="3">
        <f>NVDA!B159</f>
        <v>185.04</v>
      </c>
      <c r="E172" s="3">
        <f>TSLA!B159</f>
        <v>435.8</v>
      </c>
    </row>
    <row r="173" spans="2:5" x14ac:dyDescent="0.45">
      <c r="B173" s="4">
        <f>MSFT!A160</f>
        <v>46031</v>
      </c>
      <c r="C173" s="3">
        <f>MSFT!B160</f>
        <v>479.28</v>
      </c>
      <c r="D173" s="3">
        <f>NVDA!B160</f>
        <v>184.86</v>
      </c>
      <c r="E173" s="3">
        <f>TSLA!B160</f>
        <v>445.01</v>
      </c>
    </row>
    <row r="174" spans="2:5" x14ac:dyDescent="0.45">
      <c r="B174" s="4">
        <f>MSFT!A161</f>
        <v>46034</v>
      </c>
      <c r="C174" s="3">
        <f>MSFT!B161</f>
        <v>477.18</v>
      </c>
      <c r="D174" s="3">
        <f>NVDA!B161</f>
        <v>184.94</v>
      </c>
      <c r="E174" s="3">
        <f>TSLA!B161</f>
        <v>448.96</v>
      </c>
    </row>
    <row r="175" spans="2:5" x14ac:dyDescent="0.45">
      <c r="B175" s="4">
        <f>MSFT!A162</f>
        <v>46035</v>
      </c>
      <c r="C175" s="3">
        <f>MSFT!B162</f>
        <v>470.67</v>
      </c>
      <c r="D175" s="3">
        <f>NVDA!B162</f>
        <v>185.81</v>
      </c>
      <c r="E175" s="3">
        <f>TSLA!B162</f>
        <v>447.2</v>
      </c>
    </row>
    <row r="176" spans="2:5" x14ac:dyDescent="0.45">
      <c r="B176" s="4">
        <f>MSFT!A163</f>
        <v>46036</v>
      </c>
      <c r="C176" s="3">
        <f>MSFT!B163</f>
        <v>459.38</v>
      </c>
      <c r="D176" s="3">
        <f>NVDA!B163</f>
        <v>183.14</v>
      </c>
      <c r="E176" s="3">
        <f>TSLA!B163</f>
        <v>439.2</v>
      </c>
    </row>
    <row r="177" spans="2:5" x14ac:dyDescent="0.45">
      <c r="B177" s="4">
        <f>MSFT!A164</f>
        <v>46037</v>
      </c>
      <c r="C177" s="3">
        <f>MSFT!B164</f>
        <v>456.66</v>
      </c>
      <c r="D177" s="3">
        <f>NVDA!B164</f>
        <v>187.05</v>
      </c>
      <c r="E177" s="3">
        <f>TSLA!B164</f>
        <v>438.57</v>
      </c>
    </row>
    <row r="178" spans="2:5" x14ac:dyDescent="0.45">
      <c r="B178" s="4">
        <f>MSFT!A165</f>
        <v>46038</v>
      </c>
      <c r="C178" s="3">
        <f>MSFT!B165</f>
        <v>459.86</v>
      </c>
      <c r="D178" s="3">
        <f>NVDA!B165</f>
        <v>186.23</v>
      </c>
      <c r="E178" s="3">
        <f>TSLA!B165</f>
        <v>437.5</v>
      </c>
    </row>
    <row r="179" spans="2:5" x14ac:dyDescent="0.45">
      <c r="B179" s="4">
        <f>MSFT!A166</f>
        <v>46042</v>
      </c>
      <c r="C179" s="3">
        <f>MSFT!B166</f>
        <v>454.52</v>
      </c>
      <c r="D179" s="3">
        <f>NVDA!B166</f>
        <v>178.07</v>
      </c>
      <c r="E179" s="3">
        <f>TSLA!B166</f>
        <v>419.25</v>
      </c>
    </row>
    <row r="180" spans="2:5" x14ac:dyDescent="0.45">
      <c r="B180" s="4">
        <f>MSFT!A167</f>
        <v>46043</v>
      </c>
      <c r="C180" s="3">
        <f>MSFT!B167</f>
        <v>444.11</v>
      </c>
      <c r="D180" s="3">
        <f>NVDA!B167</f>
        <v>183.32</v>
      </c>
      <c r="E180" s="3">
        <f>TSLA!B167</f>
        <v>431.44</v>
      </c>
    </row>
    <row r="181" spans="2:5" x14ac:dyDescent="0.45">
      <c r="B181" s="4">
        <f>MSFT!A168</f>
        <v>46044</v>
      </c>
      <c r="C181" s="3">
        <f>MSFT!B168</f>
        <v>451.14</v>
      </c>
      <c r="D181" s="3">
        <f>NVDA!B168</f>
        <v>184.84</v>
      </c>
      <c r="E181" s="3">
        <f>TSLA!B168</f>
        <v>449.36</v>
      </c>
    </row>
    <row r="182" spans="2:5" x14ac:dyDescent="0.45">
      <c r="B182" s="4">
        <f>MSFT!A169</f>
        <v>46045</v>
      </c>
      <c r="C182" s="3">
        <f>MSFT!B169</f>
        <v>465.95</v>
      </c>
      <c r="D182" s="3">
        <f>NVDA!B169</f>
        <v>187.67</v>
      </c>
      <c r="E182" s="3">
        <f>TSLA!B169</f>
        <v>449.06</v>
      </c>
    </row>
    <row r="183" spans="2:5" x14ac:dyDescent="0.45">
      <c r="B183" s="4">
        <f>MSFT!A170</f>
        <v>46048</v>
      </c>
      <c r="C183" s="3">
        <f>MSFT!B170</f>
        <v>470.28</v>
      </c>
      <c r="D183" s="3">
        <f>NVDA!B170</f>
        <v>186.47</v>
      </c>
      <c r="E183" s="3">
        <f>TSLA!B170</f>
        <v>435.2</v>
      </c>
    </row>
    <row r="184" spans="2:5" x14ac:dyDescent="0.45">
      <c r="B184" s="4">
        <f>MSFT!A171</f>
        <v>46049</v>
      </c>
      <c r="C184" s="3">
        <f>MSFT!B171</f>
        <v>480.58</v>
      </c>
      <c r="D184" s="3">
        <f>NVDA!B171</f>
        <v>188.52</v>
      </c>
      <c r="E184" s="3">
        <f>TSLA!B171</f>
        <v>430.9</v>
      </c>
    </row>
    <row r="185" spans="2:5" x14ac:dyDescent="0.45">
      <c r="B185" s="4">
        <f>MSFT!A172</f>
        <v>46050</v>
      </c>
      <c r="C185" s="3">
        <f>MSFT!B172</f>
        <v>481.63</v>
      </c>
      <c r="D185" s="3">
        <f>NVDA!B172</f>
        <v>191.52</v>
      </c>
      <c r="E185" s="3">
        <f>TSLA!B172</f>
        <v>431.46</v>
      </c>
    </row>
    <row r="186" spans="2:5" x14ac:dyDescent="0.45">
      <c r="B186" s="4">
        <f>MSFT!A173</f>
        <v>46051</v>
      </c>
      <c r="C186" s="3">
        <f>MSFT!B173</f>
        <v>433.5</v>
      </c>
      <c r="D186" s="3">
        <f>NVDA!B173</f>
        <v>192.51</v>
      </c>
      <c r="E186" s="3">
        <f>TSLA!B173</f>
        <v>416.56</v>
      </c>
    </row>
    <row r="187" spans="2:5" x14ac:dyDescent="0.45">
      <c r="B187" s="4">
        <f>MSFT!A174</f>
        <v>46052</v>
      </c>
      <c r="C187" s="3">
        <f>MSFT!B174</f>
        <v>430.29</v>
      </c>
      <c r="D187" s="3">
        <f>NVDA!B174</f>
        <v>191.13</v>
      </c>
      <c r="E187" s="3">
        <f>TSLA!B174</f>
        <v>430.41</v>
      </c>
    </row>
    <row r="188" spans="2:5" x14ac:dyDescent="0.45">
      <c r="B188" s="4">
        <f>MSFT!A175</f>
        <v>46055</v>
      </c>
      <c r="C188" s="3">
        <f>MSFT!B175</f>
        <v>423.37</v>
      </c>
      <c r="D188" s="3">
        <f>NVDA!B175</f>
        <v>185.61</v>
      </c>
      <c r="E188" s="3">
        <f>TSLA!B175</f>
        <v>421.81</v>
      </c>
    </row>
    <row r="189" spans="2:5" x14ac:dyDescent="0.45">
      <c r="B189" s="4">
        <f>MSFT!A176</f>
        <v>46056</v>
      </c>
      <c r="C189" s="3">
        <f>MSFT!B176</f>
        <v>411.21</v>
      </c>
      <c r="D189" s="3">
        <f>NVDA!B176</f>
        <v>180.34</v>
      </c>
      <c r="E189" s="3">
        <f>TSLA!B176</f>
        <v>421.96</v>
      </c>
    </row>
    <row r="190" spans="2:5" x14ac:dyDescent="0.45">
      <c r="B190" s="4">
        <f>MSFT!A177</f>
        <v>46057</v>
      </c>
      <c r="C190" s="3">
        <f>MSFT!B177</f>
        <v>414.19</v>
      </c>
      <c r="D190" s="3">
        <f>NVDA!B177</f>
        <v>174.19</v>
      </c>
      <c r="E190" s="3">
        <f>TSLA!B177</f>
        <v>406.01</v>
      </c>
    </row>
    <row r="191" spans="2:5" x14ac:dyDescent="0.45">
      <c r="B191" s="4">
        <f>MSFT!A178</f>
        <v>46058</v>
      </c>
      <c r="C191" s="3">
        <f>MSFT!B178</f>
        <v>393.67</v>
      </c>
      <c r="D191" s="3">
        <f>NVDA!B178</f>
        <v>171.88</v>
      </c>
      <c r="E191" s="3">
        <f>TSLA!B178</f>
        <v>397.21</v>
      </c>
    </row>
    <row r="192" spans="2:5" x14ac:dyDescent="0.45">
      <c r="B192" s="4">
        <f>MSFT!A179</f>
        <v>46059</v>
      </c>
      <c r="C192" s="3">
        <f>MSFT!B179</f>
        <v>401.14</v>
      </c>
      <c r="D192" s="3">
        <f>NVDA!B179</f>
        <v>185.41</v>
      </c>
      <c r="E192" s="3">
        <f>TSLA!B179</f>
        <v>411.11</v>
      </c>
    </row>
    <row r="193" spans="2:5" x14ac:dyDescent="0.45">
      <c r="B193" s="4">
        <f>MSFT!A180</f>
        <v>46062</v>
      </c>
      <c r="C193" s="3">
        <f>MSFT!B180</f>
        <v>413.6</v>
      </c>
      <c r="D193" s="3">
        <f>NVDA!B180</f>
        <v>190.04</v>
      </c>
      <c r="E193" s="3">
        <f>TSLA!B180</f>
        <v>417.32</v>
      </c>
    </row>
    <row r="194" spans="2:5" x14ac:dyDescent="0.45">
      <c r="B194" s="4">
        <f>MSFT!A181</f>
        <v>46063</v>
      </c>
      <c r="C194" s="3">
        <f>MSFT!B181</f>
        <v>413.27</v>
      </c>
      <c r="D194" s="3">
        <f>NVDA!B181</f>
        <v>188.54</v>
      </c>
      <c r="E194" s="3">
        <f>TSLA!B181</f>
        <v>425.21</v>
      </c>
    </row>
    <row r="195" spans="2:5" x14ac:dyDescent="0.45">
      <c r="B195" s="4">
        <f>MSFT!A182</f>
        <v>46064</v>
      </c>
      <c r="C195" s="3">
        <f>MSFT!B182</f>
        <v>404.37</v>
      </c>
      <c r="D195" s="3">
        <f>NVDA!B182</f>
        <v>190.05</v>
      </c>
      <c r="E195" s="3">
        <f>TSLA!B182</f>
        <v>428.27</v>
      </c>
    </row>
    <row r="196" spans="2:5" x14ac:dyDescent="0.45">
      <c r="B196" s="4">
        <f>MSFT!A183</f>
        <v>46065</v>
      </c>
      <c r="C196" s="3">
        <f>MSFT!B183</f>
        <v>401.84</v>
      </c>
      <c r="D196" s="3">
        <f>NVDA!B183</f>
        <v>186.94</v>
      </c>
      <c r="E196" s="3">
        <f>TSLA!B183</f>
        <v>417.07</v>
      </c>
    </row>
    <row r="197" spans="2:5" x14ac:dyDescent="0.45">
      <c r="B197" s="4">
        <f>MSFT!A184</f>
        <v>46066</v>
      </c>
      <c r="C197" s="3">
        <f>MSFT!B184</f>
        <v>401.32</v>
      </c>
      <c r="D197" s="3">
        <f>NVDA!B184</f>
        <v>182.81</v>
      </c>
      <c r="E197" s="3">
        <f>TSLA!B184</f>
        <v>417.44</v>
      </c>
    </row>
    <row r="198" spans="2:5" x14ac:dyDescent="0.45">
      <c r="B198" s="4">
        <f>MSFT!A185</f>
        <v>46070</v>
      </c>
      <c r="C198" s="3">
        <f>MSFT!B185</f>
        <v>396.86</v>
      </c>
      <c r="D198" s="3">
        <f>NVDA!B185</f>
        <v>184.97</v>
      </c>
      <c r="E198" s="3">
        <f>TSLA!B185</f>
        <v>410.63</v>
      </c>
    </row>
    <row r="199" spans="2:5" x14ac:dyDescent="0.45">
      <c r="B199" s="4">
        <f>MSFT!A186</f>
        <v>46071</v>
      </c>
      <c r="C199" s="3">
        <f>MSFT!B186</f>
        <v>399.6</v>
      </c>
      <c r="D199" s="3">
        <f>NVDA!B186</f>
        <v>187.98</v>
      </c>
      <c r="E199" s="3">
        <f>TSLA!B186</f>
        <v>411.32</v>
      </c>
    </row>
    <row r="200" spans="2:5" x14ac:dyDescent="0.45">
      <c r="B200" s="4">
        <f>MSFT!A187</f>
        <v>46072</v>
      </c>
      <c r="C200" s="3">
        <f>MSFT!B187</f>
        <v>398.46</v>
      </c>
      <c r="D200" s="3">
        <f>NVDA!B187</f>
        <v>187.9</v>
      </c>
      <c r="E200" s="3">
        <f>TSLA!B187</f>
        <v>411.71</v>
      </c>
    </row>
    <row r="201" spans="2:5" x14ac:dyDescent="0.45">
      <c r="B201" s="4">
        <f>MSFT!A188</f>
        <v>46073</v>
      </c>
      <c r="C201" s="3">
        <f>MSFT!B188</f>
        <v>397.23</v>
      </c>
      <c r="D201" s="3">
        <f>NVDA!B188</f>
        <v>189.82</v>
      </c>
      <c r="E201" s="3">
        <f>TSLA!B188</f>
        <v>411.82</v>
      </c>
    </row>
    <row r="202" spans="2:5" x14ac:dyDescent="0.45">
      <c r="B202" s="4">
        <f>MSFT!A189</f>
        <v>46076</v>
      </c>
      <c r="C202" s="3">
        <f>MSFT!B189</f>
        <v>384.47</v>
      </c>
      <c r="D202" s="3">
        <f>NVDA!B189</f>
        <v>191.55</v>
      </c>
      <c r="E202" s="3">
        <f>TSLA!B189</f>
        <v>399.83</v>
      </c>
    </row>
    <row r="203" spans="2:5" x14ac:dyDescent="0.45">
      <c r="B203" s="4">
        <f>MSFT!A190</f>
        <v>46077</v>
      </c>
      <c r="C203" s="3">
        <f>MSFT!B190</f>
        <v>389</v>
      </c>
      <c r="D203" s="3">
        <f>NVDA!B190</f>
        <v>192.85</v>
      </c>
      <c r="E203" s="3">
        <f>TSLA!B190</f>
        <v>409.38</v>
      </c>
    </row>
    <row r="204" spans="2:5" x14ac:dyDescent="0.45">
      <c r="B204" s="4">
        <f>MSFT!A191</f>
        <v>46078</v>
      </c>
      <c r="C204" s="3">
        <f>MSFT!B191</f>
        <v>400.6</v>
      </c>
      <c r="D204" s="3">
        <f>NVDA!B191</f>
        <v>195.56</v>
      </c>
      <c r="E204" s="3">
        <f>TSLA!B191</f>
        <v>417.4</v>
      </c>
    </row>
    <row r="205" spans="2:5" x14ac:dyDescent="0.45">
      <c r="B205" s="4">
        <f>MSFT!A192</f>
        <v>46079</v>
      </c>
      <c r="C205" s="3">
        <f>MSFT!B192</f>
        <v>401.72</v>
      </c>
      <c r="D205" s="3">
        <f>NVDA!B192</f>
        <v>184.89</v>
      </c>
      <c r="E205" s="3">
        <f>TSLA!B192</f>
        <v>408.58</v>
      </c>
    </row>
    <row r="206" spans="2:5" x14ac:dyDescent="0.45">
      <c r="B206" s="4">
        <f>MSFT!A193</f>
        <v>46080</v>
      </c>
      <c r="C206" s="3">
        <f>MSFT!B193</f>
        <v>392.74</v>
      </c>
      <c r="D206" s="3">
        <f>NVDA!B193</f>
        <v>177.19</v>
      </c>
      <c r="E206" s="3">
        <f>TSLA!B193</f>
        <v>402.51</v>
      </c>
    </row>
    <row r="207" spans="2:5" x14ac:dyDescent="0.45">
      <c r="B207" s="4">
        <f>MSFT!A194</f>
        <v>46083</v>
      </c>
      <c r="C207" s="3">
        <f>MSFT!B194</f>
        <v>398.55</v>
      </c>
      <c r="D207" s="3">
        <f>NVDA!B194</f>
        <v>182.48</v>
      </c>
      <c r="E207" s="3">
        <f>TSLA!B194</f>
        <v>403.32</v>
      </c>
    </row>
    <row r="208" spans="2:5" x14ac:dyDescent="0.45">
      <c r="B208" s="4">
        <f>MSFT!A195</f>
        <v>46084</v>
      </c>
      <c r="C208" s="3">
        <f>MSFT!B195</f>
        <v>403.93</v>
      </c>
      <c r="D208" s="3">
        <f>NVDA!B195</f>
        <v>180.05</v>
      </c>
      <c r="E208" s="3">
        <f>TSLA!B195</f>
        <v>392.43</v>
      </c>
    </row>
    <row r="209" spans="2:5" x14ac:dyDescent="0.45">
      <c r="B209" s="4">
        <f>MSFT!A196</f>
        <v>46085</v>
      </c>
      <c r="C209" s="3">
        <f>MSFT!B196</f>
        <v>405.2</v>
      </c>
      <c r="D209" s="3">
        <f>NVDA!B196</f>
        <v>183.04</v>
      </c>
      <c r="E209" s="3">
        <f>TSLA!B196</f>
        <v>405.94</v>
      </c>
    </row>
    <row r="210" spans="2:5" x14ac:dyDescent="0.45">
      <c r="B210" s="4">
        <f>MSFT!A197</f>
        <v>46086</v>
      </c>
      <c r="C210" s="3">
        <f>MSFT!B197</f>
        <v>410.68</v>
      </c>
      <c r="D210" s="3">
        <f>NVDA!B197</f>
        <v>183.34</v>
      </c>
      <c r="E210" s="3">
        <f>TSLA!B197</f>
        <v>405.55</v>
      </c>
    </row>
    <row r="211" spans="2:5" x14ac:dyDescent="0.45">
      <c r="B211" s="4">
        <f>MSFT!A198</f>
        <v>46087</v>
      </c>
      <c r="C211" s="3">
        <f>MSFT!B198</f>
        <v>408.96</v>
      </c>
      <c r="D211" s="3">
        <f>NVDA!B198</f>
        <v>177.82</v>
      </c>
      <c r="E211" s="3">
        <f>TSLA!B198</f>
        <v>396.73</v>
      </c>
    </row>
    <row r="212" spans="2:5" x14ac:dyDescent="0.45">
      <c r="B212" s="4">
        <f>MSFT!A199</f>
        <v>46090</v>
      </c>
      <c r="C212" s="3">
        <f>MSFT!B199</f>
        <v>409.41</v>
      </c>
      <c r="D212" s="3">
        <f>NVDA!B199</f>
        <v>182.65</v>
      </c>
      <c r="E212" s="3">
        <f>TSLA!B199</f>
        <v>398.68</v>
      </c>
    </row>
    <row r="213" spans="2:5" x14ac:dyDescent="0.45">
      <c r="B213" s="4">
        <f>MSFT!A200</f>
        <v>46091</v>
      </c>
      <c r="C213" s="3">
        <f>MSFT!B200</f>
        <v>405.76</v>
      </c>
      <c r="D213" s="3">
        <f>NVDA!B200</f>
        <v>184.77</v>
      </c>
      <c r="E213" s="3">
        <f>TSLA!B200</f>
        <v>399.23</v>
      </c>
    </row>
    <row r="214" spans="2:5" x14ac:dyDescent="0.45">
      <c r="B214" s="4">
        <f>MSFT!A201</f>
        <v>46092</v>
      </c>
      <c r="C214" s="3">
        <f>MSFT!B201</f>
        <v>404.88</v>
      </c>
      <c r="D214" s="3">
        <f>NVDA!B201</f>
        <v>186.03</v>
      </c>
      <c r="E214" s="3">
        <f>TSLA!B201</f>
        <v>407.82</v>
      </c>
    </row>
    <row r="215" spans="2:5" x14ac:dyDescent="0.45">
      <c r="B215" s="4">
        <f>MSFT!A202</f>
        <v>46093</v>
      </c>
      <c r="C215" s="3">
        <f>MSFT!B202</f>
        <v>401.86</v>
      </c>
      <c r="D215" s="3">
        <f>NVDA!B202</f>
        <v>183.14</v>
      </c>
      <c r="E215" s="3">
        <f>TSLA!B202</f>
        <v>395.01</v>
      </c>
    </row>
    <row r="216" spans="2:5" x14ac:dyDescent="0.45">
      <c r="B216" s="4">
        <f>MSFT!A203</f>
        <v>46094</v>
      </c>
      <c r="C216" s="3">
        <f>MSFT!B203</f>
        <v>395.55</v>
      </c>
      <c r="D216" s="3">
        <f>NVDA!B203</f>
        <v>180.25</v>
      </c>
      <c r="E216" s="3">
        <f>TSLA!B203</f>
        <v>391.2</v>
      </c>
    </row>
    <row r="217" spans="2:5" x14ac:dyDescent="0.45">
      <c r="B217" s="4">
        <f>MSFT!A204</f>
        <v>46097</v>
      </c>
      <c r="C217" s="3">
        <f>MSFT!B204</f>
        <v>399.95</v>
      </c>
      <c r="D217" s="3">
        <f>NVDA!B204</f>
        <v>183.22</v>
      </c>
      <c r="E217" s="3">
        <f>TSLA!B204</f>
        <v>395.56</v>
      </c>
    </row>
    <row r="218" spans="2:5" x14ac:dyDescent="0.45">
      <c r="B218" s="4">
        <f>MSFT!A205</f>
        <v>46098</v>
      </c>
      <c r="C218" s="3">
        <f>MSFT!B205</f>
        <v>399.41</v>
      </c>
      <c r="D218" s="3">
        <f>NVDA!B205</f>
        <v>181.93</v>
      </c>
      <c r="E218" s="3">
        <f>TSLA!B205</f>
        <v>399.27</v>
      </c>
    </row>
    <row r="219" spans="2:5" x14ac:dyDescent="0.45">
      <c r="B219" s="4">
        <f>MSFT!A206</f>
        <v>46099</v>
      </c>
      <c r="C219" s="3">
        <f>MSFT!B206</f>
        <v>391.79</v>
      </c>
      <c r="D219" s="3">
        <f>NVDA!B206</f>
        <v>180.4</v>
      </c>
      <c r="E219" s="3">
        <f>TSLA!B206</f>
        <v>392.78</v>
      </c>
    </row>
    <row r="220" spans="2:5" x14ac:dyDescent="0.45">
      <c r="B220" s="4">
        <f>MSFT!A207</f>
        <v>46100</v>
      </c>
      <c r="C220" s="3">
        <f>MSFT!B207</f>
        <v>389.02</v>
      </c>
      <c r="D220" s="3">
        <f>NVDA!B207</f>
        <v>178.56</v>
      </c>
      <c r="E220" s="3">
        <f>TSLA!B207</f>
        <v>380.3</v>
      </c>
    </row>
    <row r="221" spans="2:5" x14ac:dyDescent="0.45">
      <c r="B221" s="4">
        <f>MSFT!A208</f>
        <v>46101</v>
      </c>
      <c r="C221" s="3">
        <f>MSFT!B208</f>
        <v>381.87</v>
      </c>
      <c r="D221" s="3">
        <f>NVDA!B208</f>
        <v>172.7</v>
      </c>
      <c r="E221" s="3">
        <f>TSLA!B208</f>
        <v>367.96</v>
      </c>
    </row>
    <row r="222" spans="2:5" x14ac:dyDescent="0.45">
      <c r="B222" s="4">
        <f>MSFT!A209</f>
        <v>46104</v>
      </c>
      <c r="C222" s="3">
        <f>MSFT!B209</f>
        <v>383</v>
      </c>
      <c r="D222" s="3">
        <f>NVDA!B209</f>
        <v>175.64</v>
      </c>
      <c r="E222" s="3">
        <f>TSLA!B209</f>
        <v>380.85</v>
      </c>
    </row>
    <row r="223" spans="2:5" x14ac:dyDescent="0.45">
      <c r="B223" s="4">
        <f>MSFT!A210</f>
        <v>46105</v>
      </c>
      <c r="C223" s="3">
        <f>MSFT!B210</f>
        <v>372.74</v>
      </c>
      <c r="D223" s="3">
        <f>NVDA!B210</f>
        <v>175.2</v>
      </c>
      <c r="E223" s="3">
        <f>TSLA!B210</f>
        <v>383.03</v>
      </c>
    </row>
    <row r="224" spans="2:5" x14ac:dyDescent="0.45">
      <c r="B224" s="4">
        <f>MSFT!A211</f>
        <v>46106</v>
      </c>
      <c r="C224" s="3">
        <f>MSFT!B211</f>
        <v>371.04</v>
      </c>
      <c r="D224" s="3">
        <f>NVDA!B211</f>
        <v>178.68</v>
      </c>
      <c r="E224" s="3">
        <f>TSLA!B211</f>
        <v>385.95</v>
      </c>
    </row>
    <row r="225" spans="2:5" x14ac:dyDescent="0.45">
      <c r="B225" s="4">
        <f>MSFT!A212</f>
        <v>46107</v>
      </c>
      <c r="C225" s="3">
        <f>MSFT!B212</f>
        <v>365.97</v>
      </c>
      <c r="D225" s="3">
        <f>NVDA!B212</f>
        <v>171.24</v>
      </c>
      <c r="E225" s="3">
        <f>TSLA!B212</f>
        <v>372.11</v>
      </c>
    </row>
    <row r="226" spans="2:5" x14ac:dyDescent="0.45">
      <c r="B226" s="4">
        <f>MSFT!A213</f>
        <v>46108</v>
      </c>
      <c r="C226" s="3">
        <f>MSFT!B213</f>
        <v>356.77</v>
      </c>
      <c r="D226" s="3">
        <f>NVDA!B213</f>
        <v>167.52</v>
      </c>
      <c r="E226" s="3">
        <f>TSLA!B213</f>
        <v>361.83</v>
      </c>
    </row>
    <row r="227" spans="2:5" x14ac:dyDescent="0.45">
      <c r="B227" s="4">
        <f>MSFT!A214</f>
        <v>46111</v>
      </c>
      <c r="C227" s="3">
        <f>MSFT!B214</f>
        <v>358.96</v>
      </c>
      <c r="D227" s="3">
        <f>NVDA!B214</f>
        <v>165.17</v>
      </c>
      <c r="E227" s="3">
        <f>TSLA!B214</f>
        <v>355.28</v>
      </c>
    </row>
    <row r="228" spans="2:5" x14ac:dyDescent="0.45">
      <c r="B228" s="4">
        <f>MSFT!A215</f>
        <v>46112</v>
      </c>
      <c r="C228" s="3">
        <f>MSFT!B215</f>
        <v>370.17</v>
      </c>
      <c r="D228" s="3">
        <f>NVDA!B215</f>
        <v>174.4</v>
      </c>
      <c r="E228" s="3">
        <f>TSLA!B215</f>
        <v>371.75</v>
      </c>
    </row>
    <row r="229" spans="2:5" x14ac:dyDescent="0.45">
      <c r="B229" s="4">
        <f>MSFT!A216</f>
        <v>46113</v>
      </c>
      <c r="C229" s="3">
        <f>MSFT!B216</f>
        <v>369.37</v>
      </c>
      <c r="D229" s="3">
        <f>NVDA!B216</f>
        <v>175.75</v>
      </c>
      <c r="E229" s="3">
        <f>TSLA!B216</f>
        <v>381.26</v>
      </c>
    </row>
    <row r="230" spans="2:5" x14ac:dyDescent="0.45">
      <c r="B230" s="4">
        <f>MSFT!A217</f>
        <v>46114</v>
      </c>
      <c r="C230" s="3">
        <f>MSFT!B217</f>
        <v>373.46</v>
      </c>
      <c r="D230" s="3">
        <f>NVDA!B217</f>
        <v>177.39</v>
      </c>
      <c r="E230" s="3">
        <f>TSLA!B217</f>
        <v>360.59</v>
      </c>
    </row>
    <row r="231" spans="2:5" x14ac:dyDescent="0.45">
      <c r="B231" s="4">
        <f>MSFT!A218</f>
        <v>46118</v>
      </c>
      <c r="C231" s="3">
        <f>MSFT!B218</f>
        <v>372.88</v>
      </c>
      <c r="D231" s="3">
        <f>NVDA!B218</f>
        <v>177.64</v>
      </c>
      <c r="E231" s="3">
        <f>TSLA!B218</f>
        <v>352.82</v>
      </c>
    </row>
    <row r="232" spans="2:5" x14ac:dyDescent="0.45">
      <c r="B232" s="4">
        <f>MSFT!A219</f>
        <v>46119</v>
      </c>
      <c r="C232" s="3">
        <f>MSFT!B219</f>
        <v>372.29</v>
      </c>
      <c r="D232" s="3">
        <f>NVDA!B219</f>
        <v>178.1</v>
      </c>
      <c r="E232" s="3">
        <f>TSLA!B219</f>
        <v>346.65</v>
      </c>
    </row>
    <row r="233" spans="2:5" x14ac:dyDescent="0.45">
      <c r="B233" s="4">
        <f>MSFT!A220</f>
        <v>46120</v>
      </c>
      <c r="C233" s="3">
        <f>MSFT!B220</f>
        <v>374.33</v>
      </c>
      <c r="D233" s="3">
        <f>NVDA!B220</f>
        <v>182.08</v>
      </c>
      <c r="E233" s="3">
        <f>TSLA!B220</f>
        <v>343.25</v>
      </c>
    </row>
    <row r="234" spans="2:5" x14ac:dyDescent="0.45">
      <c r="B234" s="4">
        <f>MSFT!A221</f>
        <v>46121</v>
      </c>
      <c r="C234" s="3">
        <f>MSFT!B221</f>
        <v>373.07</v>
      </c>
      <c r="D234" s="3">
        <f>NVDA!B221</f>
        <v>183.91</v>
      </c>
      <c r="E234" s="3">
        <f>TSLA!B221</f>
        <v>345.62</v>
      </c>
    </row>
    <row r="235" spans="2:5" x14ac:dyDescent="0.45">
      <c r="B235" s="4">
        <f>MSFT!A222</f>
        <v>46122</v>
      </c>
      <c r="C235" s="3">
        <f>MSFT!B222</f>
        <v>370.87</v>
      </c>
      <c r="D235" s="3">
        <f>NVDA!B222</f>
        <v>188.63</v>
      </c>
      <c r="E235" s="3">
        <f>TSLA!B222</f>
        <v>348.95</v>
      </c>
    </row>
    <row r="236" spans="2:5" x14ac:dyDescent="0.45">
      <c r="B236" s="4">
        <f>MSFT!A223</f>
        <v>46125</v>
      </c>
      <c r="C236" s="3">
        <f>MSFT!B223</f>
        <v>384.37</v>
      </c>
      <c r="D236" s="3">
        <f>NVDA!B223</f>
        <v>189.31</v>
      </c>
      <c r="E236" s="3">
        <f>TSLA!B223</f>
        <v>352.42</v>
      </c>
    </row>
    <row r="237" spans="2:5" x14ac:dyDescent="0.45">
      <c r="B237" s="4">
        <f>MSFT!A224</f>
        <v>46126</v>
      </c>
      <c r="C237" s="3">
        <f>MSFT!B224</f>
        <v>393.11</v>
      </c>
      <c r="D237" s="3">
        <f>NVDA!B224</f>
        <v>196.51</v>
      </c>
      <c r="E237" s="3">
        <f>TSLA!B224</f>
        <v>364.2</v>
      </c>
    </row>
    <row r="238" spans="2:5" x14ac:dyDescent="0.45">
      <c r="B238" s="4">
        <f>MSFT!A225</f>
        <v>46127</v>
      </c>
      <c r="C238" s="3">
        <f>MSFT!B225</f>
        <v>411.22</v>
      </c>
      <c r="D238" s="3">
        <f>NVDA!B225</f>
        <v>198.87</v>
      </c>
      <c r="E238" s="3">
        <f>TSLA!B225</f>
        <v>391.95</v>
      </c>
    </row>
    <row r="239" spans="2:5" x14ac:dyDescent="0.45">
      <c r="B239" s="4">
        <f>MSFT!A226</f>
        <v>46128</v>
      </c>
      <c r="C239" s="3">
        <f>MSFT!B226</f>
        <v>420.26</v>
      </c>
      <c r="D239" s="3">
        <f>NVDA!B226</f>
        <v>198.35</v>
      </c>
      <c r="E239" s="3">
        <f>TSLA!B226</f>
        <v>388.9</v>
      </c>
    </row>
    <row r="240" spans="2:5" x14ac:dyDescent="0.45">
      <c r="B240" s="4">
        <f>MSFT!A227</f>
        <v>46129</v>
      </c>
      <c r="C240" s="3">
        <f>MSFT!B227</f>
        <v>422.79</v>
      </c>
      <c r="D240" s="3">
        <f>NVDA!B227</f>
        <v>201.68</v>
      </c>
      <c r="E240" s="3">
        <f>TSLA!B227</f>
        <v>400.62</v>
      </c>
    </row>
    <row r="241" spans="2:5" x14ac:dyDescent="0.45">
      <c r="B241" s="4">
        <f>MSFT!A228</f>
        <v>46132</v>
      </c>
      <c r="C241" s="3">
        <f>MSFT!B228</f>
        <v>418.07</v>
      </c>
      <c r="D241" s="3">
        <f>NVDA!B228</f>
        <v>202.06</v>
      </c>
      <c r="E241" s="3">
        <f>TSLA!B228</f>
        <v>392.5</v>
      </c>
    </row>
    <row r="242" spans="2:5" x14ac:dyDescent="0.45">
      <c r="B242" s="4">
        <f>MSFT!A229</f>
        <v>46133</v>
      </c>
      <c r="C242" s="3">
        <f>MSFT!B229</f>
        <v>424.16</v>
      </c>
      <c r="D242" s="3">
        <f>NVDA!B229</f>
        <v>199.88</v>
      </c>
      <c r="E242" s="3">
        <f>TSLA!B229</f>
        <v>386.42</v>
      </c>
    </row>
    <row r="243" spans="2:5" x14ac:dyDescent="0.45">
      <c r="B243" s="4">
        <f>MSFT!A230</f>
        <v>46134</v>
      </c>
      <c r="C243" s="3">
        <f>MSFT!B230</f>
        <v>432.92</v>
      </c>
      <c r="D243" s="3">
        <f>NVDA!B230</f>
        <v>202.5</v>
      </c>
      <c r="E243" s="3">
        <f>TSLA!B230</f>
        <v>387.51</v>
      </c>
    </row>
    <row r="244" spans="2:5" x14ac:dyDescent="0.45">
      <c r="B244" s="4">
        <f>MSFT!A231</f>
        <v>46135</v>
      </c>
      <c r="C244" s="3">
        <f>MSFT!B231</f>
        <v>415.75</v>
      </c>
      <c r="D244" s="3">
        <f>NVDA!B231</f>
        <v>199.64</v>
      </c>
      <c r="E244" s="3">
        <f>TSLA!B231</f>
        <v>373.72</v>
      </c>
    </row>
    <row r="245" spans="2:5" x14ac:dyDescent="0.45">
      <c r="B245" s="4">
        <f>MSFT!A232</f>
        <v>46136</v>
      </c>
      <c r="C245" s="3">
        <f>MSFT!B232</f>
        <v>424.62</v>
      </c>
      <c r="D245" s="3">
        <f>NVDA!B232</f>
        <v>208.27</v>
      </c>
      <c r="E245" s="3">
        <f>TSLA!B232</f>
        <v>376.3</v>
      </c>
    </row>
    <row r="246" spans="2:5" x14ac:dyDescent="0.45">
      <c r="B246" s="4">
        <f>MSFT!A233</f>
        <v>46139</v>
      </c>
      <c r="C246" s="3">
        <f>MSFT!B233</f>
        <v>424.82</v>
      </c>
      <c r="D246" s="3">
        <f>NVDA!B233</f>
        <v>216.61</v>
      </c>
      <c r="E246" s="3">
        <f>TSLA!B233</f>
        <v>378.67</v>
      </c>
    </row>
    <row r="247" spans="2:5" x14ac:dyDescent="0.45">
      <c r="B247" s="4">
        <f>MSFT!A234</f>
        <v>46140</v>
      </c>
      <c r="C247" s="3">
        <f>MSFT!B234</f>
        <v>429.25</v>
      </c>
      <c r="D247" s="3">
        <f>NVDA!B234</f>
        <v>213.17</v>
      </c>
      <c r="E247" s="3">
        <f>TSLA!B234</f>
        <v>376.02</v>
      </c>
    </row>
    <row r="248" spans="2:5" x14ac:dyDescent="0.45">
      <c r="B248" s="4">
        <f>MSFT!A235</f>
        <v>46141</v>
      </c>
      <c r="C248" s="3">
        <f>MSFT!B235</f>
        <v>424.46</v>
      </c>
      <c r="D248" s="3">
        <f>NVDA!B235</f>
        <v>209.25</v>
      </c>
      <c r="E248" s="3">
        <f>TSLA!B235</f>
        <v>372.8</v>
      </c>
    </row>
    <row r="249" spans="2:5" x14ac:dyDescent="0.45">
      <c r="B249" s="4">
        <f>MSFT!A236</f>
        <v>46142</v>
      </c>
      <c r="C249" s="3">
        <f>MSFT!B236</f>
        <v>407.78</v>
      </c>
      <c r="D249" s="3">
        <f>NVDA!B236</f>
        <v>199.57</v>
      </c>
      <c r="E249" s="3">
        <f>TSLA!B236</f>
        <v>381.63</v>
      </c>
    </row>
    <row r="250" spans="2:5" x14ac:dyDescent="0.45">
      <c r="B250" s="4">
        <f>MSFT!A237</f>
        <v>46143</v>
      </c>
      <c r="C250" s="3">
        <f>MSFT!B237</f>
        <v>414.44</v>
      </c>
      <c r="D250" s="3">
        <f>NVDA!B237</f>
        <v>198.45</v>
      </c>
      <c r="E250" s="3">
        <f>TSLA!B237</f>
        <v>390.82</v>
      </c>
    </row>
    <row r="251" spans="2:5" x14ac:dyDescent="0.45">
      <c r="B251" s="4">
        <f>MSFT!A238</f>
        <v>46146</v>
      </c>
      <c r="C251" s="3">
        <f>MSFT!B238</f>
        <v>413.62</v>
      </c>
      <c r="D251" s="3">
        <f>NVDA!B238</f>
        <v>198.48</v>
      </c>
      <c r="E251" s="3">
        <f>TSLA!B238</f>
        <v>392.51</v>
      </c>
    </row>
    <row r="252" spans="2:5" x14ac:dyDescent="0.45">
      <c r="B252" s="4">
        <f>MSFT!A239</f>
        <v>46147</v>
      </c>
      <c r="C252" s="3">
        <f>MSFT!B239</f>
        <v>411.38</v>
      </c>
      <c r="D252" s="3">
        <f>NVDA!B239</f>
        <v>196.5</v>
      </c>
      <c r="E252" s="3">
        <f>TSLA!B239</f>
        <v>389.37</v>
      </c>
    </row>
    <row r="253" spans="2:5" x14ac:dyDescent="0.45">
      <c r="B253" s="4">
        <f>MSFT!A240</f>
        <v>46148</v>
      </c>
      <c r="C253" s="3">
        <f>MSFT!B240</f>
        <v>413.96</v>
      </c>
      <c r="D253" s="3">
        <f>NVDA!B240</f>
        <v>207.83</v>
      </c>
      <c r="E253" s="3">
        <f>TSLA!B240</f>
        <v>398.73</v>
      </c>
    </row>
    <row r="254" spans="2:5" x14ac:dyDescent="0.45">
      <c r="B254" s="4">
        <f>MSFT!A241</f>
        <v>46149</v>
      </c>
      <c r="C254" s="3">
        <f>MSFT!B241</f>
        <v>420.77</v>
      </c>
      <c r="D254" s="3">
        <f>NVDA!B241</f>
        <v>211.5</v>
      </c>
      <c r="E254" s="3">
        <f>TSLA!B241</f>
        <v>411.79</v>
      </c>
    </row>
    <row r="255" spans="2:5" x14ac:dyDescent="0.45">
      <c r="B255" s="4">
        <f>MSFT!A242</f>
        <v>46150</v>
      </c>
      <c r="C255" s="3">
        <f>MSFT!B242</f>
        <v>415.12</v>
      </c>
      <c r="D255" s="3">
        <f>NVDA!B242</f>
        <v>215.2</v>
      </c>
      <c r="E255" s="3">
        <f>TSLA!B242</f>
        <v>428.35</v>
      </c>
    </row>
    <row r="256" spans="2:5" x14ac:dyDescent="0.45">
      <c r="B256" s="4">
        <f>MSFT!A243</f>
        <v>46153</v>
      </c>
      <c r="C256" s="3">
        <f>MSFT!B243</f>
        <v>412.66</v>
      </c>
      <c r="D256" s="3">
        <f>NVDA!B243</f>
        <v>219.44</v>
      </c>
      <c r="E256" s="3">
        <f>TSLA!B243</f>
        <v>445</v>
      </c>
    </row>
    <row r="257" spans="2:5" x14ac:dyDescent="0.45">
      <c r="B257" s="4">
        <f>MSFT!A244</f>
        <v>46154</v>
      </c>
      <c r="C257" s="3">
        <f>MSFT!B244</f>
        <v>407.77</v>
      </c>
      <c r="D257" s="3">
        <f>NVDA!B244</f>
        <v>220.78</v>
      </c>
      <c r="E257" s="3">
        <f>TSLA!B244</f>
        <v>433.45</v>
      </c>
    </row>
    <row r="258" spans="2:5" x14ac:dyDescent="0.45">
      <c r="B258" s="4">
        <f>MSFT!A245</f>
        <v>46155</v>
      </c>
      <c r="C258" s="3">
        <f>MSFT!B245</f>
        <v>405.21</v>
      </c>
      <c r="D258" s="3">
        <f>NVDA!B245</f>
        <v>225.83</v>
      </c>
      <c r="E258" s="3">
        <f>TSLA!B245</f>
        <v>445.27</v>
      </c>
    </row>
    <row r="259" spans="2:5" x14ac:dyDescent="0.45">
      <c r="B259" s="4">
        <f>MSFT!A246</f>
        <v>46156</v>
      </c>
      <c r="C259" s="3">
        <f>MSFT!B246</f>
        <v>409.43</v>
      </c>
      <c r="D259" s="3">
        <f>NVDA!B246</f>
        <v>235.74</v>
      </c>
      <c r="E259" s="3">
        <f>TSLA!B246</f>
        <v>443.3</v>
      </c>
    </row>
    <row r="260" spans="2:5" x14ac:dyDescent="0.45">
      <c r="B260" s="4">
        <f>MSFT!A247</f>
        <v>46157</v>
      </c>
      <c r="C260" s="3">
        <f>MSFT!B247</f>
        <v>421.92</v>
      </c>
      <c r="D260" s="3">
        <f>NVDA!B247</f>
        <v>225.32</v>
      </c>
      <c r="E260" s="3">
        <f>TSLA!B247</f>
        <v>422.24</v>
      </c>
    </row>
    <row r="261" spans="2:5" x14ac:dyDescent="0.45">
      <c r="B261" s="4">
        <f>MSFT!A248</f>
        <v>46160</v>
      </c>
      <c r="C261" s="3">
        <f>MSFT!B248</f>
        <v>423.54</v>
      </c>
      <c r="D261" s="3">
        <f>NVDA!B248</f>
        <v>222.32</v>
      </c>
      <c r="E261" s="3">
        <f>TSLA!B248</f>
        <v>409.99</v>
      </c>
    </row>
    <row r="262" spans="2:5" x14ac:dyDescent="0.45">
      <c r="B262" s="4">
        <f>MSFT!A249</f>
        <v>46161</v>
      </c>
      <c r="C262" s="3">
        <f>MSFT!B249</f>
        <v>417.42</v>
      </c>
      <c r="D262" s="3">
        <f>NVDA!B249</f>
        <v>220.61</v>
      </c>
      <c r="E262" s="3">
        <f>TSLA!B249</f>
        <v>404.11</v>
      </c>
    </row>
    <row r="263" spans="2:5" x14ac:dyDescent="0.45">
      <c r="B263" s="4">
        <f>MSFT!A250</f>
        <v>46162</v>
      </c>
      <c r="C263" s="3">
        <f>MSFT!B250</f>
        <v>421.06</v>
      </c>
      <c r="D263" s="3">
        <f>NVDA!B250</f>
        <v>223.47</v>
      </c>
      <c r="E263" s="3">
        <f>TSLA!B250</f>
        <v>417.26</v>
      </c>
    </row>
    <row r="264" spans="2:5" x14ac:dyDescent="0.45">
      <c r="B264" s="4">
        <f>MSFT!A251</f>
        <v>46163</v>
      </c>
      <c r="C264" s="3">
        <f>MSFT!B251</f>
        <v>419.09</v>
      </c>
      <c r="D264" s="3">
        <f>NVDA!B251</f>
        <v>219.51</v>
      </c>
      <c r="E264" s="3">
        <f>TSLA!B251</f>
        <v>417.85</v>
      </c>
    </row>
    <row r="265" spans="2:5" x14ac:dyDescent="0.45">
      <c r="B265" s="4">
        <f>MSFT!A252</f>
        <v>46164</v>
      </c>
      <c r="C265" s="3">
        <f>MSFT!B252</f>
        <v>418.57</v>
      </c>
      <c r="D265" s="3">
        <f>NVDA!B252</f>
        <v>215.33</v>
      </c>
      <c r="E265" s="3">
        <f>TSLA!B252</f>
        <v>426.01</v>
      </c>
    </row>
    <row r="266" spans="2:5" x14ac:dyDescent="0.45">
      <c r="B266" s="4"/>
    </row>
    <row r="267" spans="2:5" x14ac:dyDescent="0.45">
      <c r="B267" s="4"/>
    </row>
    <row r="268" spans="2:5" x14ac:dyDescent="0.45">
      <c r="B268" s="4"/>
    </row>
    <row r="269" spans="2:5" x14ac:dyDescent="0.45">
      <c r="B269" s="4"/>
    </row>
    <row r="270" spans="2:5" x14ac:dyDescent="0.45">
      <c r="B270" s="4"/>
    </row>
    <row r="271" spans="2:5" x14ac:dyDescent="0.45">
      <c r="B271" s="4"/>
    </row>
    <row r="272" spans="2:5" x14ac:dyDescent="0.45">
      <c r="B272" s="4"/>
    </row>
    <row r="273" spans="2:2" x14ac:dyDescent="0.45">
      <c r="B273" s="4"/>
    </row>
    <row r="274" spans="2:2" x14ac:dyDescent="0.45">
      <c r="B274" s="4"/>
    </row>
    <row r="275" spans="2:2" x14ac:dyDescent="0.45">
      <c r="B275" s="4"/>
    </row>
    <row r="276" spans="2:2" x14ac:dyDescent="0.45">
      <c r="B276" s="4"/>
    </row>
    <row r="277" spans="2:2" x14ac:dyDescent="0.45">
      <c r="B277" s="4"/>
    </row>
    <row r="278" spans="2:2" x14ac:dyDescent="0.45">
      <c r="B278" s="4"/>
    </row>
    <row r="279" spans="2:2" x14ac:dyDescent="0.45">
      <c r="B279" s="4"/>
    </row>
    <row r="280" spans="2:2" x14ac:dyDescent="0.45">
      <c r="B280" s="4"/>
    </row>
    <row r="281" spans="2:2" x14ac:dyDescent="0.45">
      <c r="B281" s="4"/>
    </row>
    <row r="282" spans="2:2" x14ac:dyDescent="0.45">
      <c r="B282" s="4"/>
    </row>
    <row r="283" spans="2:2" x14ac:dyDescent="0.45">
      <c r="B283" s="4"/>
    </row>
    <row r="284" spans="2:2" x14ac:dyDescent="0.45">
      <c r="B284" s="4"/>
    </row>
    <row r="285" spans="2:2" x14ac:dyDescent="0.45">
      <c r="B285" s="4"/>
    </row>
    <row r="286" spans="2:2" x14ac:dyDescent="0.45">
      <c r="B286" s="4"/>
    </row>
    <row r="287" spans="2:2" x14ac:dyDescent="0.45">
      <c r="B287" s="4"/>
    </row>
    <row r="288" spans="2:2" x14ac:dyDescent="0.45">
      <c r="B288" s="4"/>
    </row>
    <row r="289" spans="2:2" x14ac:dyDescent="0.45">
      <c r="B289" s="4"/>
    </row>
    <row r="290" spans="2:2" x14ac:dyDescent="0.45">
      <c r="B290" s="4"/>
    </row>
    <row r="291" spans="2:2" x14ac:dyDescent="0.45">
      <c r="B291" s="4"/>
    </row>
    <row r="292" spans="2:2" x14ac:dyDescent="0.45">
      <c r="B292" s="4"/>
    </row>
    <row r="293" spans="2:2" x14ac:dyDescent="0.45">
      <c r="B293" s="4"/>
    </row>
    <row r="294" spans="2:2" x14ac:dyDescent="0.45">
      <c r="B294" s="4"/>
    </row>
    <row r="295" spans="2:2" x14ac:dyDescent="0.45">
      <c r="B295" s="4"/>
    </row>
    <row r="296" spans="2:2" x14ac:dyDescent="0.45">
      <c r="B296" s="4"/>
    </row>
    <row r="297" spans="2:2" x14ac:dyDescent="0.45">
      <c r="B297" s="4"/>
    </row>
    <row r="298" spans="2:2" x14ac:dyDescent="0.45">
      <c r="B298" s="4"/>
    </row>
    <row r="299" spans="2:2" x14ac:dyDescent="0.45">
      <c r="B299" s="4"/>
    </row>
    <row r="300" spans="2:2" x14ac:dyDescent="0.45">
      <c r="B300" s="4"/>
    </row>
    <row r="301" spans="2:2" x14ac:dyDescent="0.45">
      <c r="B301" s="4"/>
    </row>
    <row r="302" spans="2:2" x14ac:dyDescent="0.45">
      <c r="B302" s="4"/>
    </row>
    <row r="303" spans="2:2" x14ac:dyDescent="0.45">
      <c r="B303" s="4"/>
    </row>
    <row r="304" spans="2:2" x14ac:dyDescent="0.45">
      <c r="B304" s="4"/>
    </row>
    <row r="305" spans="2:2" x14ac:dyDescent="0.45">
      <c r="B305" s="4"/>
    </row>
    <row r="306" spans="2:2" x14ac:dyDescent="0.45">
      <c r="B306" s="4"/>
    </row>
    <row r="307" spans="2:2" x14ac:dyDescent="0.45">
      <c r="B307" s="4"/>
    </row>
    <row r="308" spans="2:2" x14ac:dyDescent="0.45">
      <c r="B308" s="4"/>
    </row>
    <row r="309" spans="2:2" x14ac:dyDescent="0.45">
      <c r="B309" s="4"/>
    </row>
    <row r="310" spans="2:2" x14ac:dyDescent="0.45">
      <c r="B310" s="4"/>
    </row>
    <row r="311" spans="2:2" x14ac:dyDescent="0.45">
      <c r="B311" s="4"/>
    </row>
    <row r="312" spans="2:2" x14ac:dyDescent="0.45">
      <c r="B312" s="4"/>
    </row>
    <row r="313" spans="2:2" x14ac:dyDescent="0.45">
      <c r="B313" s="4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5F308E-46A4-49C6-9638-96117D6244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MSFT</vt:lpstr>
      <vt:lpstr>NVDA</vt:lpstr>
      <vt:lpstr>TSLA</vt:lpstr>
      <vt:lpstr>analysis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Golagana</dc:creator>
  <cp:lastModifiedBy>Lokesh Golagana</cp:lastModifiedBy>
  <dcterms:created xsi:type="dcterms:W3CDTF">2026-05-23T10:44:56Z</dcterms:created>
  <dcterms:modified xsi:type="dcterms:W3CDTF">2026-05-24T07:21:36Z</dcterms:modified>
</cp:coreProperties>
</file>